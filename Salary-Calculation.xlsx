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3" fontId="5" fillId="3" borderId="1" applyAlignment="1" pivotButton="0" quotePrefix="0" xfId="0">
      <alignment horizontal="right"/>
    </xf>
    <xf numFmtId="0" fontId="6" fillId="3" borderId="1" applyAlignment="1" pivotButton="0" quotePrefix="0" xfId="0">
      <alignment vertical="center" wrapText="1"/>
    </xf>
    <xf numFmtId="1" fontId="5" fillId="3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4" fillId="4" borderId="1" pivotButton="0" quotePrefix="0" xfId="0"/>
    <xf numFmtId="2" fontId="7" fillId="4" borderId="1" applyAlignment="1" pivotButton="0" quotePrefix="0" xfId="0">
      <alignment horizontal="right"/>
    </xf>
    <xf numFmtId="0" fontId="6" fillId="4" borderId="1" applyAlignment="1" pivotButton="0" quotePrefix="0" xfId="0">
      <alignment vertical="center" wrapText="1"/>
    </xf>
    <xf numFmtId="165" fontId="7" fillId="4" borderId="1" applyAlignment="1" pivotButton="0" quotePrefix="0" xfId="0">
      <alignment horizontal="right"/>
    </xf>
    <xf numFmtId="0" fontId="8" fillId="5" borderId="1" pivotButton="0" quotePrefix="0" xfId="0"/>
    <xf numFmtId="2" fontId="9" fillId="5" borderId="1" applyAlignment="1" pivotButton="0" quotePrefix="0" xfId="0">
      <alignment horizontal="right"/>
    </xf>
    <xf numFmtId="0" fontId="6" fillId="5" borderId="1" applyAlignment="1" pivotButton="0" quotePrefix="0" xfId="0">
      <alignment vertical="center" wrapText="1"/>
    </xf>
    <xf numFmtId="3" fontId="7" fillId="4" borderId="1" applyAlignment="1" pivotButton="0" quotePrefix="0" xfId="0">
      <alignment horizontal="right"/>
    </xf>
    <xf numFmtId="3" fontId="9" fillId="5" borderId="1" applyAlignment="1" pivotButton="0" quotePrefix="0" xfId="0">
      <alignment horizontal="right"/>
    </xf>
    <xf numFmtId="0" fontId="8" fillId="6" borderId="1" pivotButton="0" quotePrefix="0" xfId="0"/>
    <xf numFmtId="3" fontId="9" fillId="6" borderId="1" applyAlignment="1" pivotButton="0" quotePrefix="0" xfId="0">
      <alignment horizontal="right"/>
    </xf>
    <xf numFmtId="0" fontId="6" fillId="6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/>
    </xf>
    <xf numFmtId="0" fontId="0" fillId="0" borderId="1" pivotButton="0" quotePrefix="0" xfId="0"/>
    <xf numFmtId="0" fontId="6" fillId="0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4" customWidth="1" min="3" max="3"/>
    <col width="66" customWidth="1" min="4" max="4"/>
  </cols>
  <sheetData>
    <row r="1">
      <c r="B1" s="1" t="inlineStr">
        <is>
          <t>How one employee's monthly salary is calculated</t>
        </is>
      </c>
    </row>
    <row r="2">
      <c r="B2" s="2" t="inlineStr">
        <is>
          <t>Type over the yellow cells. Everything else recalculates.</t>
        </is>
      </c>
    </row>
    <row r="4" ht="20" customHeight="1">
      <c r="B4" s="3" t="inlineStr">
        <is>
          <t>WHAT YOU TYPE IN</t>
        </is>
      </c>
      <c r="C4" s="3" t="n"/>
      <c r="D4" s="3" t="n"/>
    </row>
    <row r="5" ht="15" customHeight="1">
      <c r="B5" s="4" t="inlineStr">
        <is>
          <t>Monthly salary (contracted)</t>
        </is>
      </c>
      <c r="C5" s="5" t="n">
        <v>30000</v>
      </c>
      <c r="D5" s="6" t="inlineStr">
        <is>
          <t>The agreed monthly figure on the salary structure. Not annual.</t>
        </is>
      </c>
    </row>
    <row r="6" ht="15" customHeight="1">
      <c r="B6" s="4" t="inlineStr">
        <is>
          <t>Working days scheduled this month</t>
        </is>
      </c>
      <c r="C6" s="7" t="n">
        <v>26</v>
      </c>
      <c r="D6" s="6" t="inlineStr">
        <is>
          <t>Days the roster says they work, plus paid holidays. Weekly offs are NOT counted.</t>
        </is>
      </c>
    </row>
    <row r="7" ht="15" customHeight="1">
      <c r="B7" s="4" t="inlineStr">
        <is>
          <t>Days not employed</t>
        </is>
      </c>
      <c r="C7" s="7" t="n">
        <v>0</v>
      </c>
      <c r="D7" s="6" t="inlineStr">
        <is>
          <t>Scheduled days falling before joining or after the last working day.</t>
        </is>
      </c>
    </row>
    <row r="8" ht="15" customHeight="1">
      <c r="B8" s="4" t="inlineStr">
        <is>
          <t>Loss-of-pay days</t>
        </is>
      </c>
      <c r="C8" s="8" t="n">
        <v>0</v>
      </c>
      <c r="D8" s="6" t="inlineStr">
        <is>
          <t>Absent = 1 day. Half day = 0.5. Approved paid leave = 0. Unpaid leave = 1.</t>
        </is>
      </c>
    </row>
    <row r="9" ht="15" customHeight="1">
      <c r="B9" s="4" t="inlineStr">
        <is>
          <t>Count method</t>
        </is>
      </c>
      <c r="C9" s="9" t="inlineStr">
        <is>
          <t>fixed_days</t>
        </is>
      </c>
      <c r="D9" s="6" t="inlineStr">
        <is>
          <t>Type actual_days (pay per real working day) or fixed_days (every month treated as the number below).</t>
        </is>
      </c>
    </row>
    <row r="10" ht="15" customHeight="1">
      <c r="B10" s="4" t="inlineStr">
        <is>
          <t>Fixed days, if using fixed_days</t>
        </is>
      </c>
      <c r="C10" s="7" t="n">
        <v>30</v>
      </c>
      <c r="D10" s="6" t="inlineStr">
        <is>
          <t>Your system is set to fixed_days = 30.</t>
        </is>
      </c>
    </row>
    <row r="11" ht="15" customHeight="1">
      <c r="B11" s="4" t="inlineStr">
        <is>
          <t>Basic as % of salary</t>
        </is>
      </c>
      <c r="C11" s="10" t="n">
        <v>0.5</v>
      </c>
      <c r="D11" s="6" t="inlineStr">
        <is>
          <t>Your structure: Basic 50% of salary.</t>
        </is>
      </c>
    </row>
    <row r="12" ht="15" customHeight="1">
      <c r="B12" s="4" t="inlineStr">
        <is>
          <t>HRA as % of Basic</t>
        </is>
      </c>
      <c r="C12" s="10" t="n">
        <v>0.5</v>
      </c>
      <c r="D12" s="6" t="inlineStr">
        <is>
          <t>Your structure: HRA 50% of Basic.</t>
        </is>
      </c>
    </row>
    <row r="13" ht="15" customHeight="1">
      <c r="B13" s="4" t="inlineStr">
        <is>
          <t>Overtime hours</t>
        </is>
      </c>
      <c r="C13" s="11" t="n">
        <v>0</v>
      </c>
      <c r="D13" s="6" t="inlineStr">
        <is>
          <t>Paid at 2x the normal hourly rate.</t>
        </is>
      </c>
    </row>
    <row r="14" ht="15" customHeight="1">
      <c r="B14" s="4" t="inlineStr">
        <is>
          <t>Deduct PF / ESI / LWF? (yes or no)</t>
        </is>
      </c>
      <c r="C14" s="9" t="inlineStr">
        <is>
          <t>yes</t>
        </is>
      </c>
      <c r="D14" s="6" t="inlineStr">
        <is>
          <t>Your system today: NO — statutory settings are empty, so nothing is deducted. Set yes to see what it would look like once configured.</t>
        </is>
      </c>
    </row>
    <row r="15" ht="15" customHeight="1">
      <c r="B15" s="4" t="inlineStr">
        <is>
          <t>Professional Tax</t>
        </is>
      </c>
      <c r="C15" s="5" t="n">
        <v>0</v>
      </c>
      <c r="D15" s="6" t="inlineStr">
        <is>
          <t>A fixed state amount by salary band. None configured in your system, so it is 0.</t>
        </is>
      </c>
    </row>
    <row r="16" ht="15" customHeight="1">
      <c r="B16" s="4" t="inlineStr">
        <is>
          <t>TDS (income tax)</t>
        </is>
      </c>
      <c r="C16" s="5" t="n">
        <v>0</v>
      </c>
      <c r="D16" s="6" t="inlineStr">
        <is>
          <t>A flat figure stored per employee. The system does not compute it.</t>
        </is>
      </c>
    </row>
    <row r="17" ht="15" customHeight="1">
      <c r="B17" s="4" t="inlineStr">
        <is>
          <t>One-off adjustment (+ or -)</t>
        </is>
      </c>
      <c r="C17" s="5" t="n">
        <v>0</v>
      </c>
      <c r="D17" s="6" t="inlineStr">
        <is>
          <t>A manual add or subtract for this month only. Never prorated.</t>
        </is>
      </c>
    </row>
    <row r="19" ht="20" customHeight="1">
      <c r="B19" s="3" t="inlineStr">
        <is>
          <t>STEP 1 — HOW MANY DAYS GET PAID</t>
        </is>
      </c>
      <c r="C19" s="3" t="n"/>
      <c r="D19" s="3" t="n"/>
    </row>
    <row r="20" ht="15" customHeight="1">
      <c r="B20" s="12" t="inlineStr">
        <is>
          <t>Denominator (D)</t>
        </is>
      </c>
      <c r="C20" s="13">
        <f>IF($C$9="fixed_days",$C$10,$C$6)</f>
        <v/>
      </c>
      <c r="D20" s="14" t="inlineStr">
        <is>
          <t>The number the salary is divided by: 30 under fixed_days, else the real working days.</t>
        </is>
      </c>
    </row>
    <row r="21" ht="15" customHeight="1">
      <c r="B21" s="12" t="inlineStr">
        <is>
          <t>Share of the month earned</t>
        </is>
      </c>
      <c r="C21" s="15">
        <f>IF($C$6&gt;0,MAX(0,$C$6-$C$7-$C$8)/$C$6,0)</f>
        <v/>
      </c>
      <c r="D21" s="14" t="inlineStr">
        <is>
          <t>(Working days − not employed − loss of pay) ÷ working days.</t>
        </is>
      </c>
    </row>
    <row r="22" ht="15" customHeight="1">
      <c r="B22" s="16" t="inlineStr">
        <is>
          <t>DAYS PAID</t>
        </is>
      </c>
      <c r="C22" s="17">
        <f>ROUND($C$20*$C$21,2)</f>
        <v/>
      </c>
      <c r="D22" s="18" t="inlineStr">
        <is>
          <t>Denominator × share. NOT a subtraction: 26 days, 2 lost, denominator 30 gives 27.69 — not 28.</t>
        </is>
      </c>
    </row>
    <row r="24" ht="20" customHeight="1">
      <c r="B24" s="3" t="inlineStr">
        <is>
          <t>STEP 2 — WHAT THEY EARN</t>
        </is>
      </c>
      <c r="C24" s="3" t="n"/>
      <c r="D24" s="3" t="n"/>
    </row>
    <row r="25" ht="15" customHeight="1">
      <c r="B25" s="12" t="inlineStr">
        <is>
          <t>Salary for the days paid</t>
        </is>
      </c>
      <c r="C25" s="19">
        <f>ROUND($C$5*$C$21,0)</f>
        <v/>
      </c>
      <c r="D25" s="14" t="inlineStr">
        <is>
          <t>Monthly salary scaled down by the share earned. Every line below is built off this.</t>
        </is>
      </c>
    </row>
    <row r="26" ht="15" customHeight="1">
      <c r="B26" s="12" t="inlineStr">
        <is>
          <t>Basic</t>
        </is>
      </c>
      <c r="C26" s="19">
        <f>ROUND($C$11*$C$25,0)</f>
        <v/>
      </c>
      <c r="D26" s="14" t="inlineStr">
        <is>
          <t>Percentage of the scaled salary.</t>
        </is>
      </c>
    </row>
    <row r="27" ht="15" customHeight="1">
      <c r="B27" s="12" t="inlineStr">
        <is>
          <t>HRA</t>
        </is>
      </c>
      <c r="C27" s="19">
        <f>ROUND($C$12*$C$26,0)</f>
        <v/>
      </c>
      <c r="D27" s="14" t="inlineStr">
        <is>
          <t>Percentage of Basic.</t>
        </is>
      </c>
    </row>
    <row r="28" ht="15" customHeight="1">
      <c r="B28" s="12" t="inlineStr">
        <is>
          <t>Other Allowance</t>
        </is>
      </c>
      <c r="C28" s="19">
        <f>MAX(0,$C$25-$C$26-$C$27)</f>
        <v/>
      </c>
      <c r="D28" s="14" t="inlineStr">
        <is>
          <t>Whatever is left of the scaled salary after Basic and HRA. Absorbs the rounding.</t>
        </is>
      </c>
    </row>
    <row r="29" ht="15" customHeight="1">
      <c r="B29" s="12" t="inlineStr">
        <is>
          <t>Overtime</t>
        </is>
      </c>
      <c r="C29" s="19">
        <f>ROUND($C$13*($C$5/($C$20*8))*2,0)</f>
        <v/>
      </c>
      <c r="D29" s="14" t="inlineStr">
        <is>
          <t>Hours × (full salary ÷ (denominator × 8 hours)) × 2. Not scaled by attendance.</t>
        </is>
      </c>
    </row>
    <row r="30" ht="15" customHeight="1">
      <c r="B30" s="12" t="inlineStr">
        <is>
          <t>Statutory bonus</t>
        </is>
      </c>
      <c r="C30" s="19">
        <f>IF($C$11*$C$5&gt;21000,0,ROUND(ROUND(0.0833*MIN(ROUND($C$11*$C$5,0),7000),0)*$C$21,0))</f>
        <v/>
      </c>
      <c r="D30" s="14" t="inlineStr">
        <is>
          <t>8.33% of Basic, capped at 7,000. Nothing at all if full-month Basic is above 21,000.</t>
        </is>
      </c>
    </row>
    <row r="31" ht="15" customHeight="1">
      <c r="B31" s="16" t="inlineStr">
        <is>
          <t>GROSS EARNINGS</t>
        </is>
      </c>
      <c r="C31" s="20">
        <f>$C$26+$C$27+$C$28+$C$29+$C$30</f>
        <v/>
      </c>
      <c r="D31" s="18" t="inlineStr">
        <is>
          <t>Everything they earned before anything is taken off.</t>
        </is>
      </c>
    </row>
    <row r="33" ht="20" customHeight="1">
      <c r="B33" s="3" t="inlineStr">
        <is>
          <t>STEP 3 — WHAT IS TAKEN OFF</t>
        </is>
      </c>
      <c r="C33" s="3" t="n"/>
      <c r="D33" s="3" t="n"/>
    </row>
    <row r="34" ht="15" customHeight="1">
      <c r="B34" s="12" t="inlineStr">
        <is>
          <t>Provident Fund (PF)</t>
        </is>
      </c>
      <c r="C34" s="19">
        <f>IF($C$14="yes",ROUND(0.12*MIN($C$5,15000)*$C$21,0),0)</f>
        <v/>
      </c>
      <c r="D34" s="14" t="inlineStr">
        <is>
          <t>12% of salary, but only the first 15,000 counts. So a full month is 1,800 at most.</t>
        </is>
      </c>
    </row>
    <row r="35" ht="15" customHeight="1">
      <c r="B35" s="12" t="inlineStr">
        <is>
          <t>ESI</t>
        </is>
      </c>
      <c r="C35" s="19">
        <f>IF(AND($C$14="yes",$C$5&lt;=21000),CEILING(0.0075*($C$26+$C$27+$C$28),1),0)</f>
        <v/>
      </c>
      <c r="D35" s="14" t="inlineStr">
        <is>
          <t>0.75%, and only for people earning 21,000 or less. Always rounds UP to the next rupee.</t>
        </is>
      </c>
    </row>
    <row r="36" ht="15" customHeight="1">
      <c r="B36" s="12" t="inlineStr">
        <is>
          <t>Labour Welfare Fund (LWF)</t>
        </is>
      </c>
      <c r="C36" s="19">
        <f>IF($C$14="yes",MIN(ROUND(0.002*($C$26+$C$27+$C$28),0),35),0)</f>
        <v/>
      </c>
      <c r="D36" s="14" t="inlineStr">
        <is>
          <t>0.2% of pay, capped at 35. Some states charge a flat amount in paise instead.</t>
        </is>
      </c>
    </row>
    <row r="37" ht="15" customHeight="1">
      <c r="B37" s="12" t="inlineStr">
        <is>
          <t>Professional Tax</t>
        </is>
      </c>
      <c r="C37" s="19">
        <f>$C$15</f>
        <v/>
      </c>
      <c r="D37" s="14" t="inlineStr">
        <is>
          <t>Straight from the yellow cell above.</t>
        </is>
      </c>
    </row>
    <row r="38" ht="15" customHeight="1">
      <c r="B38" s="12" t="inlineStr">
        <is>
          <t>TDS</t>
        </is>
      </c>
      <c r="C38" s="19">
        <f>$C$16</f>
        <v/>
      </c>
      <c r="D38" s="14" t="inlineStr">
        <is>
          <t>Straight from the yellow cell above.</t>
        </is>
      </c>
    </row>
    <row r="39" ht="15" customHeight="1">
      <c r="B39" s="12" t="inlineStr">
        <is>
          <t>Adjustment, if negative</t>
        </is>
      </c>
      <c r="C39" s="19">
        <f>MAX(0,-$C$17)</f>
        <v/>
      </c>
      <c r="D39" s="14" t="inlineStr">
        <is>
          <t>A negative adjustment is taken off here.</t>
        </is>
      </c>
    </row>
    <row r="40" ht="15" customHeight="1">
      <c r="B40" s="16" t="inlineStr">
        <is>
          <t>TOTAL DEDUCTIONS</t>
        </is>
      </c>
      <c r="C40" s="20">
        <f>$C$34+$C$35+$C$36+$C$37+$C$38+$C$39</f>
        <v/>
      </c>
      <c r="D40" s="18" t="inlineStr"/>
    </row>
    <row r="42" ht="20" customHeight="1">
      <c r="B42" s="3" t="inlineStr">
        <is>
          <t>STEP 4 — WHAT THEY ARE PAID</t>
        </is>
      </c>
      <c r="C42" s="3" t="n"/>
      <c r="D42" s="3" t="n"/>
    </row>
    <row r="43" ht="15" customHeight="1">
      <c r="B43" s="12" t="inlineStr">
        <is>
          <t>Adjustment, if positive</t>
        </is>
      </c>
      <c r="C43" s="19">
        <f>MAX(0,$C$17)</f>
        <v/>
      </c>
      <c r="D43" s="14" t="inlineStr">
        <is>
          <t>A positive adjustment is added here.</t>
        </is>
      </c>
    </row>
    <row r="44" ht="15" customHeight="1">
      <c r="B44" s="21" t="inlineStr">
        <is>
          <t>TAKE-HOME PAY</t>
        </is>
      </c>
      <c r="C44" s="22">
        <f>$C$31-$C$40+$C$43</f>
        <v/>
      </c>
      <c r="D44" s="23" t="inlineStr">
        <is>
          <t>Gross earnings − total deductions + any positive adjustment.</t>
        </is>
      </c>
    </row>
    <row r="46" ht="20" customHeight="1">
      <c r="B46" s="3" t="inlineStr">
        <is>
          <t>FIVE THINGS THAT CATCH PEOPLE OUT</t>
        </is>
      </c>
      <c r="C46" s="3" t="n"/>
      <c r="D46" s="3" t="n"/>
    </row>
    <row r="47" ht="26" customHeight="1">
      <c r="B47" s="24" t="inlineStr">
        <is>
          <t>Days paid is scaled, not subtracted.</t>
        </is>
      </c>
      <c r="C47" s="25" t="n"/>
      <c r="D47" s="26" t="inlineStr">
        <is>
          <t>Losing 2 of 26 days on a 30-day denominator costs 2.31, not 2. The sheet shows 27.69.</t>
        </is>
      </c>
    </row>
    <row r="48" ht="26" customHeight="1">
      <c r="B48" s="24" t="inlineStr">
        <is>
          <t>A paid holiday is not a free day.</t>
        </is>
      </c>
      <c r="C48" s="25" t="n"/>
      <c r="D48" s="26" t="inlineStr">
        <is>
          <t>It sits inside the working days, so it dilutes the daily rate rather than adding to pay.</t>
        </is>
      </c>
    </row>
    <row r="49" ht="26" customHeight="1">
      <c r="B49" s="24" t="inlineStr">
        <is>
          <t>A weekly off costs nothing, ever.</t>
        </is>
      </c>
      <c r="C49" s="25" t="n"/>
      <c r="D49" s="26" t="inlineStr">
        <is>
          <t>Being marked absent on a rest day changes no number, because rest days are never counted.</t>
        </is>
      </c>
    </row>
    <row r="50" ht="26" customHeight="1">
      <c r="B50" s="24" t="inlineStr">
        <is>
          <t>PF stops at 15,000 of salary.</t>
        </is>
      </c>
      <c r="C50" s="25" t="n"/>
      <c r="D50" s="26" t="inlineStr">
        <is>
          <t>Above that it is a flat 1,800 in a full month, however large the salary is.</t>
        </is>
      </c>
    </row>
    <row r="51" ht="26" customHeight="1">
      <c r="B51" s="24" t="inlineStr">
        <is>
          <t>Nothing is deducted in your system today.</t>
        </is>
      </c>
      <c r="C51" s="25" t="n"/>
      <c r="D51" s="26" t="inlineStr">
        <is>
          <t>PF, ESI, PT and LWF are all unconfigured, so every payslip currently pays the full gross.</t>
        </is>
      </c>
    </row>
    <row r="53">
      <c r="B53" s="27" t="inlineStr">
        <is>
          <t>Rounded to the nearest rupee at every step, except ESI which rounds up and days paid which keeps 2 decimals.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2026-07-28T11:10:09Z</dcterms:created>
  <dcterms:modified xmlns:dcterms="http://purl.org/dc/terms/" xmlns:xsi="http://www.w3.org/2001/XMLSchema-instance" xsi:type="dcterms:W3CDTF">2026-07-28T11:10:09Z</dcterms:modified>
</cp:coreProperties>
</file>