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Salary Is Calculated" sheetId="1" state="visible" r:id="rId1"/>
  </sheets>
  <definedNames/>
  <calcPr calcId="124519" fullCalcOnLoad="1"/>
</workbook>
</file>

<file path=xl/styles.xml><?xml version="1.0" encoding="utf-8"?>
<styleSheet xmlns="http://schemas.openxmlformats.org/spreadsheetml/2006/main">
  <numFmts count="3">
    <numFmt numFmtId="164" formatCode="&quot;₹&quot;#,##0"/>
    <numFmt numFmtId="165" formatCode="0.0000"/>
    <numFmt numFmtId="166" formatCode="&quot;₹&quot;#,##0.00"/>
  </numFmts>
  <fonts count="11">
    <font>
      <name val="Calibri"/>
      <family val="2"/>
      <color theme="1"/>
      <sz val="11"/>
      <scheme val="minor"/>
    </font>
    <font>
      <name val="Arial"/>
      <b val="1"/>
      <color rgb="001F4E79"/>
      <sz val="18"/>
    </font>
    <font>
      <name val="Arial"/>
      <i val="1"/>
      <color rgb="00595959"/>
      <sz val="10"/>
    </font>
    <font>
      <name val="Arial"/>
      <b val="1"/>
      <color rgb="00FFFFFF"/>
      <sz val="12"/>
    </font>
    <font>
      <name val="Arial"/>
      <sz val="10"/>
    </font>
    <font>
      <name val="Arial"/>
      <b val="1"/>
      <color rgb="000000FF"/>
      <sz val="11"/>
    </font>
    <font>
      <name val="Arial"/>
      <color rgb="00595959"/>
      <sz val="9"/>
    </font>
    <font>
      <name val="Arial"/>
      <b val="1"/>
      <color rgb="001F4E79"/>
      <sz val="11"/>
    </font>
    <font>
      <name val="Arial"/>
      <b val="1"/>
      <sz val="11"/>
    </font>
    <font>
      <name val="Arial"/>
      <b val="1"/>
      <color rgb="00006100"/>
      <sz val="14"/>
    </font>
    <font>
      <name val="Arial"/>
      <b val="1"/>
      <color rgb="00FFFFFF"/>
      <sz val="10"/>
    </font>
  </fonts>
  <fills count="9">
    <fill>
      <patternFill/>
    </fill>
    <fill>
      <patternFill patternType="gray125"/>
    </fill>
    <fill>
      <patternFill patternType="solid">
        <fgColor rgb="001F4E79"/>
      </patternFill>
    </fill>
    <fill>
      <patternFill patternType="solid">
        <fgColor rgb="00DDEBF7"/>
      </patternFill>
    </fill>
    <fill>
      <patternFill patternType="solid">
        <fgColor rgb="00FFF2CC"/>
      </patternFill>
    </fill>
    <fill>
      <patternFill patternType="solid">
        <fgColor rgb="00FCE4D6"/>
      </patternFill>
    </fill>
    <fill>
      <patternFill patternType="solid">
        <fgColor rgb="00F2F2F2"/>
      </patternFill>
    </fill>
    <fill>
      <patternFill patternType="solid">
        <fgColor rgb="00E2EFDA"/>
      </patternFill>
    </fill>
    <fill>
      <patternFill patternType="solid">
        <fgColor rgb="008EA9DB"/>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2" borderId="0" pivotButton="0" quotePrefix="0" xfId="0"/>
    <xf numFmtId="0" fontId="4" fillId="0"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4" fillId="0" borderId="0" pivotButton="0" quotePrefix="0" xfId="0"/>
    <xf numFmtId="164" fontId="5" fillId="4" borderId="1" applyAlignment="1" pivotButton="0" quotePrefix="0" xfId="0">
      <alignment horizontal="center"/>
    </xf>
    <xf numFmtId="0" fontId="6" fillId="0" borderId="0" applyAlignment="1" pivotButton="0" quotePrefix="0" xfId="0">
      <alignment vertical="top" wrapText="1"/>
    </xf>
    <xf numFmtId="0" fontId="5" fillId="4" borderId="1" applyAlignment="1" pivotButton="0" quotePrefix="0" xfId="0">
      <alignment horizontal="center"/>
    </xf>
    <xf numFmtId="2" fontId="5" fillId="4" borderId="1" applyAlignment="1" pivotButton="0" quotePrefix="0" xfId="0">
      <alignment horizontal="center"/>
    </xf>
    <xf numFmtId="0" fontId="7" fillId="0" borderId="0" pivotButton="0" quotePrefix="0" xfId="0"/>
    <xf numFmtId="0" fontId="6" fillId="5" borderId="0" applyAlignment="1" pivotButton="0" quotePrefix="0" xfId="0">
      <alignment vertical="top" wrapText="1"/>
    </xf>
    <xf numFmtId="0" fontId="0" fillId="5" borderId="0" pivotButton="0" quotePrefix="0" xfId="0"/>
    <xf numFmtId="2" fontId="8" fillId="6" borderId="1" applyAlignment="1" pivotButton="0" quotePrefix="0" xfId="0">
      <alignment horizontal="center"/>
    </xf>
    <xf numFmtId="165" fontId="8" fillId="6" borderId="1" applyAlignment="1" pivotButton="0" quotePrefix="0" xfId="0">
      <alignment horizontal="center"/>
    </xf>
    <xf numFmtId="2" fontId="8" fillId="3" borderId="1" applyAlignment="1" pivotButton="0" quotePrefix="0" xfId="0">
      <alignment horizontal="center"/>
    </xf>
    <xf numFmtId="164" fontId="8" fillId="6" borderId="1" applyAlignment="1" pivotButton="0" quotePrefix="0" xfId="0">
      <alignment horizontal="center"/>
    </xf>
    <xf numFmtId="164" fontId="8" fillId="3" borderId="1" applyAlignment="1" pivotButton="0" quotePrefix="0" xfId="0">
      <alignment horizontal="center"/>
    </xf>
    <xf numFmtId="166" fontId="8" fillId="6" borderId="1" applyAlignment="1" pivotButton="0" quotePrefix="0" xfId="0">
      <alignment horizontal="center"/>
    </xf>
    <xf numFmtId="0" fontId="8" fillId="6" borderId="1" applyAlignment="1" pivotButton="0" quotePrefix="0" xfId="0">
      <alignment horizontal="center"/>
    </xf>
    <xf numFmtId="0" fontId="8" fillId="0" borderId="0" pivotButton="0" quotePrefix="0" xfId="0"/>
    <xf numFmtId="166" fontId="9" fillId="7" borderId="1" applyAlignment="1" pivotButton="0" quotePrefix="0" xfId="0">
      <alignment horizontal="center"/>
    </xf>
    <xf numFmtId="0" fontId="10" fillId="8" borderId="1" applyAlignment="1" pivotButton="0" quotePrefix="0" xfId="0">
      <alignment vertical="center" wrapText="1"/>
    </xf>
    <xf numFmtId="2" fontId="4" fillId="6" borderId="1" applyAlignment="1" pivotButton="0" quotePrefix="0" xfId="0">
      <alignment horizontal="center"/>
    </xf>
    <xf numFmtId="2" fontId="4" fillId="0" borderId="1" applyAlignment="1" pivotButton="0" quotePrefix="0" xfId="0">
      <alignment horizontal="center"/>
    </xf>
    <xf numFmtId="0" fontId="8" fillId="0" borderId="1" applyAlignment="1" pivotButton="0" quotePrefix="0" xfId="0">
      <alignment horizontal="center"/>
    </xf>
    <xf numFmtId="164" fontId="4" fillId="6" borderId="1" applyAlignment="1" pivotButton="0" quotePrefix="0" xfId="0">
      <alignment horizontal="center"/>
    </xf>
    <xf numFmtId="164" fontId="4" fillId="0" borderId="1" applyAlignment="1" pivotButton="0" quotePrefix="0" xfId="0">
      <alignment horizontal="center"/>
    </xf>
    <xf numFmtId="166" fontId="4" fillId="6" borderId="1" applyAlignment="1" pivotButton="0" quotePrefix="0" xfId="0">
      <alignment horizontal="center"/>
    </xf>
    <xf numFmtId="166" fontId="5" fillId="4" borderId="1" applyAlignment="1" pivotButton="0" quotePrefix="0" xfId="0">
      <alignment horizontal="center"/>
    </xf>
    <xf numFmtId="166" fontId="4" fillId="0" borderId="1" applyAlignment="1" pivotButton="0" quotePrefix="0" xfId="0">
      <alignment horizontal="center"/>
    </xf>
    <xf numFmtId="0" fontId="8" fillId="3" borderId="1" applyAlignment="1" pivotButton="0" quotePrefix="0" xfId="0">
      <alignment horizontal="center"/>
    </xf>
    <xf numFmtId="0" fontId="0" fillId="0" borderId="4" pivotButton="0" quotePrefix="0" xfId="0"/>
    <xf numFmtId="0" fontId="0" fillId="0" borderId="5" pivotButton="0" quotePrefix="0" xfId="0"/>
    <xf numFmtId="0" fontId="6" fillId="0" borderId="0" pivotButton="0" quotePrefix="0" xfId="0"/>
    <xf numFmtId="0" fontId="4" fillId="0" borderId="1" applyAlignment="1" pivotButton="0" quotePrefix="0" xfId="0">
      <alignment vertical="top" wrapText="1"/>
    </xf>
    <xf numFmtId="0" fontId="6" fillId="0" borderId="1" applyAlignment="1" pivotButton="0" quotePrefix="0" xfId="0">
      <alignment vertical="top" wrapText="1"/>
    </xf>
    <xf numFmtId="0" fontId="4" fillId="6" borderId="1" applyAlignment="1" pivotButton="0" quotePrefix="0" xfId="0">
      <alignment vertical="top" wrapText="1"/>
    </xf>
    <xf numFmtId="0" fontId="6" fillId="6" borderId="1" applyAlignment="1" pivotButton="0" quotePrefix="0" xfId="0">
      <alignment vertical="top" wrapText="1"/>
    </xf>
    <xf numFmtId="0" fontId="6" fillId="7" borderId="0" applyAlignment="1" pivotButton="0" quotePrefix="0" xfId="0">
      <alignment vertical="top" wrapText="1"/>
    </xf>
    <xf numFmtId="0" fontId="0" fillId="7" borderId="0" pivotButton="0" quotePrefix="0" xfId="0"/>
  </cellXfs>
  <cellStyles count="1">
    <cellStyle name="Normal" xfId="0" builtinId="0" hidden="0"/>
  </cellStyles>
  <dxfs count="3">
    <dxf>
      <font>
        <name val="Arial"/>
        <b val="1"/>
        <color rgb="009C0006"/>
        <sz val="11"/>
      </font>
      <fill>
        <patternFill patternType="solid">
          <fgColor rgb="00FCE4D6"/>
        </patternFill>
      </fill>
    </dxf>
    <dxf>
      <font>
        <name val="Arial"/>
        <b val="1"/>
        <color rgb="00006100"/>
        <sz val="11"/>
      </font>
      <fill>
        <patternFill patternType="solid">
          <fgColor rgb="00E2EFDA"/>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16" customWidth="1" min="3" max="3"/>
    <col width="16" customWidth="1" min="4" max="4"/>
    <col width="14" customWidth="1" min="5" max="5"/>
    <col width="15" customWidth="1" min="6" max="6"/>
    <col width="74" customWidth="1" min="7" max="7"/>
  </cols>
  <sheetData>
    <row r="1" ht="26" customHeight="1">
      <c r="B1" s="1" t="inlineStr">
        <is>
          <t>How a monthly salary is calculated</t>
        </is>
      </c>
    </row>
    <row r="2">
      <c r="B2" s="2" t="inlineStr">
        <is>
          <t>SaltStayz HRMS  ·  explains the calculation, works it out live, and checks it against the system  ·  28 July 2026</t>
        </is>
      </c>
    </row>
    <row r="4" ht="24" customHeight="1">
      <c r="A4" s="3" t="n"/>
      <c r="B4" s="4" t="inlineStr">
        <is>
          <t>START HERE</t>
        </is>
      </c>
      <c r="C4" s="3" t="n"/>
      <c r="D4" s="3" t="n"/>
      <c r="E4" s="3" t="n"/>
      <c r="F4" s="3" t="n"/>
      <c r="G4" s="3" t="n"/>
    </row>
    <row r="6" ht="28" customHeight="1">
      <c r="B6" s="5" t="inlineStr">
        <is>
          <t>This sheet does three things. It EXPLAINS how pay is worked out. It CALCULATES it live as you type. And it CHECKS its answer against what the HRMS produced, so you can see exactly where the two disagree.</t>
        </is>
      </c>
    </row>
    <row r="7" ht="15" customHeight="1">
      <c r="B7" s="5" t="inlineStr">
        <is>
          <t>Type into the yellow boxes. Everything else updates by itself. Nothing here touches the real system — it is a safe scratchpad.</t>
        </is>
      </c>
    </row>
    <row r="8" ht="42" customHeight="1">
      <c r="B8" s="6" t="inlineStr">
        <is>
          <t>TO CHECK ONE PERSON'S PAYSLIP:  (1) fill in the yellow boxes in the next section, copying the values from the HRMS.  (2) Scroll to 'CHECK AGAINST THE SYSTEM' and type in what the HRMS payslip shows.  (3) Any row that says DIFFERS is worth investigating — the troubleshooting table at the bottom lists the usual causes.</t>
        </is>
      </c>
      <c r="C8" s="7" t="n"/>
      <c r="D8" s="7" t="n"/>
      <c r="E8" s="7" t="n"/>
      <c r="F8" s="7" t="n"/>
      <c r="G8" s="7" t="n"/>
    </row>
    <row r="10" ht="24" customHeight="1">
      <c r="A10" s="3" t="n"/>
      <c r="B10" s="4" t="inlineStr">
        <is>
          <t>THE SHORT ANSWER</t>
        </is>
      </c>
      <c r="C10" s="3" t="n"/>
      <c r="D10" s="3" t="n"/>
      <c r="E10" s="3" t="n"/>
      <c r="F10" s="3" t="n"/>
      <c r="G10" s="3" t="n"/>
    </row>
    <row r="12" ht="15" customHeight="1">
      <c r="B12" s="5" t="inlineStr">
        <is>
          <t>Take-home pay  =  what you earned this month  −  what was taken off</t>
        </is>
      </c>
    </row>
    <row r="13" ht="28" customHeight="1">
      <c r="B13" s="5" t="inlineStr">
        <is>
          <t>The complication is only in those two halves. What you EARN depends on how many days you were actually paid for. What is TAKEN OFF depends on government rules that use different definitions of 'your salary' for different purposes.</t>
        </is>
      </c>
    </row>
    <row r="15" ht="24" customHeight="1">
      <c r="A15" s="3" t="n"/>
      <c r="B15" s="4" t="inlineStr">
        <is>
          <t>PART 1  ·  FILL IN THE YELLOW BOXES</t>
        </is>
      </c>
      <c r="C15" s="3" t="n"/>
      <c r="D15" s="3" t="n"/>
      <c r="E15" s="3" t="n"/>
      <c r="F15" s="3" t="n"/>
      <c r="G15" s="3" t="n"/>
    </row>
    <row r="17" ht="15" customHeight="1">
      <c r="B17" s="5" t="inlineStr">
        <is>
          <t>Copy these from the HRMS. Where to find each one is written on the right.</t>
        </is>
      </c>
    </row>
    <row r="18" ht="15" customHeight="1">
      <c r="B18" s="8" t="inlineStr">
        <is>
          <t>Agreed monthly salary</t>
        </is>
      </c>
      <c r="C18" s="9" t="n">
        <v>30000</v>
      </c>
      <c r="D18" s="10" t="inlineStr">
        <is>
          <t>FIND IT: Employee page, Salary tab, the 'base' figure. It is per MONTH, not per year. Everything else is derived from it.</t>
        </is>
      </c>
    </row>
    <row r="19" ht="15" customHeight="1">
      <c r="B19" s="8" t="inlineStr">
        <is>
          <t>Basic — percentage of salary</t>
        </is>
      </c>
      <c r="C19" s="11" t="n">
        <v>50</v>
      </c>
      <c r="D19" s="10" t="inlineStr">
        <is>
          <t>FIND IT: Admin, Salary Structure, the Basic line. Your company uses 50 for every grade.</t>
        </is>
      </c>
    </row>
    <row r="20" ht="15" customHeight="1">
      <c r="B20" s="8" t="inlineStr">
        <is>
          <t>House Rent Allowance — % of Basic</t>
        </is>
      </c>
      <c r="C20" s="11" t="n">
        <v>50</v>
      </c>
      <c r="D20" s="10" t="inlineStr">
        <is>
          <t>FIND IT: same screen, the House Rent Allowance line. Your company uses 50, so HRA works out as a quarter of the salary.</t>
        </is>
      </c>
    </row>
    <row r="21" ht="15" customHeight="1">
      <c r="B21" s="8" t="inlineStr">
        <is>
          <t>Performance incentive (PLI)</t>
        </is>
      </c>
      <c r="C21" s="9" t="n">
        <v>0</v>
      </c>
      <c r="D21" s="10" t="inlineStr">
        <is>
          <t>FIND IT: same screen, the PLI line. A fixed amount that does NOT shrink when days are lost.</t>
        </is>
      </c>
    </row>
    <row r="22" ht="15" customHeight="1">
      <c r="B22" s="8" t="inlineStr">
        <is>
          <t>How the month is divided</t>
        </is>
      </c>
      <c r="C22" s="11" t="inlineStr">
        <is>
          <t>fixed_days</t>
        </is>
      </c>
      <c r="D22" s="10" t="inlineStr">
        <is>
          <t>FIND IT: Payroll, Pay Schedule. Type fixed_days or actual_days exactly. YOUR SYSTEM USES: fixed_days.</t>
        </is>
      </c>
    </row>
    <row r="23" ht="15" customHeight="1">
      <c r="B23" s="8" t="inlineStr">
        <is>
          <t>…if fixed, divide by</t>
        </is>
      </c>
      <c r="C23" s="11" t="n">
        <v>30</v>
      </c>
      <c r="D23" s="10" t="inlineStr">
        <is>
          <t>FIND IT: same screen. Your system uses 30.</t>
        </is>
      </c>
    </row>
    <row r="24" ht="26" customHeight="1">
      <c r="B24" s="8" t="inlineStr">
        <is>
          <t>Days the person was meant to work</t>
        </is>
      </c>
      <c r="C24" s="11" t="n">
        <v>26</v>
      </c>
      <c r="D24" s="10" t="inlineStr">
        <is>
          <t>FIND IT: the payslip shows this as 'working days'. It counts working days plus any paid public holiday. Rest days are NOT counted.</t>
        </is>
      </c>
    </row>
    <row r="25" ht="15" customHeight="1">
      <c r="B25" s="8" t="inlineStr">
        <is>
          <t>Days they were not employed</t>
        </is>
      </c>
      <c r="C25" s="11" t="n">
        <v>0</v>
      </c>
      <c r="D25" s="10" t="inlineStr">
        <is>
          <t>Only matters if they joined or left mid-month. Days before joining or after leaving.</t>
        </is>
      </c>
    </row>
    <row r="26" ht="15" customHeight="1">
      <c r="B26" s="8" t="inlineStr">
        <is>
          <t>Days lost</t>
        </is>
      </c>
      <c r="C26" s="12" t="n">
        <v>0</v>
      </c>
      <c r="D26" s="10" t="inlineStr">
        <is>
          <t>FIND IT: the payslip shows this as 'LOP days'. Can be a half day, so 2.5 is valid.</t>
        </is>
      </c>
    </row>
    <row r="27" ht="15" customHeight="1">
      <c r="B27" s="8" t="inlineStr">
        <is>
          <t>Overtime hours worked</t>
        </is>
      </c>
      <c r="C27" s="12" t="n">
        <v>0</v>
      </c>
      <c r="D27" s="10" t="inlineStr">
        <is>
          <t>FIND IT: Attendance, the overtime column for that month.</t>
        </is>
      </c>
    </row>
    <row r="28" ht="15" customHeight="1">
      <c r="B28" s="8" t="inlineStr">
        <is>
          <t>Overtime rate multiplier</t>
        </is>
      </c>
      <c r="C28" s="11" t="n">
        <v>2</v>
      </c>
      <c r="D28" s="10" t="inlineStr">
        <is>
          <t>FIND IT: Payroll, Pay Schedule. Your system uses 2, so double pay.</t>
        </is>
      </c>
    </row>
    <row r="29" ht="15" customHeight="1">
      <c r="B29" s="8" t="inlineStr">
        <is>
          <t>Normal hours in a working day</t>
        </is>
      </c>
      <c r="C29" s="11" t="n">
        <v>8</v>
      </c>
      <c r="D29" s="10" t="inlineStr">
        <is>
          <t>FIND IT: same screen. Your system uses 8.</t>
        </is>
      </c>
    </row>
    <row r="30" ht="15" customHeight="1">
      <c r="B30" s="8" t="inlineStr">
        <is>
          <t>Income tax (TDS) for the month</t>
        </is>
      </c>
      <c r="C30" s="9" t="n">
        <v>0</v>
      </c>
      <c r="D30" s="10" t="inlineStr">
        <is>
          <t>FIND IT: Employee page, Salary tab, the TDS field. IMPORTANT: the system calculates no tax — somebody types this in by hand.</t>
        </is>
      </c>
    </row>
    <row r="31" ht="15" customHeight="1">
      <c r="B31" s="8" t="inlineStr">
        <is>
          <t>One-off adjustment (+ or −)</t>
        </is>
      </c>
      <c r="C31" s="9" t="n">
        <v>0</v>
      </c>
      <c r="D31" s="10" t="inlineStr">
        <is>
          <t>FIND IT: Payroll, the run's review screen, the adjustment column. Positive adds, negative takes away.</t>
        </is>
      </c>
    </row>
    <row r="32" ht="15" customHeight="1">
      <c r="B32" s="8" t="inlineStr">
        <is>
          <t>State minimum wage</t>
        </is>
      </c>
      <c r="C32" s="9" t="n">
        <v>0</v>
      </c>
      <c r="D32" s="10" t="inlineStr">
        <is>
          <t>FIND IT: Admin, Statutory Components. Only used as a ceiling for the statutory bonus. Your system has none recorded.</t>
        </is>
      </c>
    </row>
    <row r="33">
      <c r="B33" s="13" t="inlineStr">
        <is>
          <t>Government deductions — switch each on or off</t>
        </is>
      </c>
    </row>
    <row r="34" ht="28" customHeight="1">
      <c r="B34" s="14" t="inlineStr">
        <is>
          <t>Type 1 to switch on, 0 to switch off. FIND THEM: Admin, Statutory Components. RIGHT NOW ALL OF THESE ARE OFF IN YOUR REAL SYSTEM, so nobody is having anything deducted.</t>
        </is>
      </c>
      <c r="C34" s="15" t="n"/>
      <c r="D34" s="15" t="n"/>
      <c r="E34" s="15" t="n"/>
      <c r="F34" s="15" t="n"/>
      <c r="G34" s="15" t="n"/>
    </row>
    <row r="35" ht="15" customHeight="1">
      <c r="B35" s="8" t="inlineStr">
        <is>
          <t>Provident Fund (PF)</t>
        </is>
      </c>
      <c r="C35" s="11" t="n">
        <v>0</v>
      </c>
      <c r="D35" s="10" t="inlineStr">
        <is>
          <t>Retirement savings. Employee pays 12%, the company pays another 12% on top.</t>
        </is>
      </c>
    </row>
    <row r="36" ht="15" customHeight="1">
      <c r="B36" s="8" t="inlineStr">
        <is>
          <t>State Insurance (ESI)</t>
        </is>
      </c>
      <c r="C36" s="11" t="n">
        <v>0</v>
      </c>
      <c r="D36" s="10" t="inlineStr">
        <is>
          <t>Medical insurance for lower-paid staff. Employee 0.75%, company 3.25%.</t>
        </is>
      </c>
    </row>
    <row r="37" ht="15" customHeight="1">
      <c r="B37" s="8" t="inlineStr">
        <is>
          <t>Professional Tax</t>
        </is>
      </c>
      <c r="C37" s="11" t="n">
        <v>0</v>
      </c>
      <c r="D37" s="10" t="inlineStr">
        <is>
          <t>A small state tax. Amount depends on the state and on earnings.</t>
        </is>
      </c>
    </row>
    <row r="38" ht="15" customHeight="1">
      <c r="B38" s="8" t="inlineStr">
        <is>
          <t>Labour Welfare Fund</t>
        </is>
      </c>
      <c r="C38" s="11" t="n">
        <v>0</v>
      </c>
      <c r="D38" s="10" t="inlineStr">
        <is>
          <t>A small state welfare contribution, usually a few rupees.</t>
        </is>
      </c>
    </row>
    <row r="39" ht="15" customHeight="1">
      <c r="B39" s="8" t="inlineStr">
        <is>
          <t>Statutory bonus</t>
        </is>
      </c>
      <c r="C39" s="11" t="n">
        <v>0</v>
      </c>
      <c r="D39" s="10" t="inlineStr">
        <is>
          <t>A bonus the law requires for lower-paid staff. This ADDS to pay.</t>
        </is>
      </c>
    </row>
    <row r="41" ht="24" customHeight="1">
      <c r="A41" s="3" t="n"/>
      <c r="B41" s="4" t="inlineStr">
        <is>
          <t>PART 2  ·  STEP 1  —  HOW MANY DAYS ARE ACTUALLY PAID FOR</t>
        </is>
      </c>
      <c r="C41" s="3" t="n"/>
      <c r="D41" s="3" t="n"/>
      <c r="E41" s="3" t="n"/>
      <c r="F41" s="3" t="n"/>
      <c r="G41" s="3" t="n"/>
    </row>
    <row r="43" ht="15" customHeight="1">
      <c r="B43" s="5" t="inlineStr">
        <is>
          <t>Nobody is paid for every date on the calendar. Rest days and lost days come out first. This step produces one number: the days that get paid.</t>
        </is>
      </c>
    </row>
    <row r="44" ht="26" customHeight="1">
      <c r="B44" s="8" t="inlineStr">
        <is>
          <t>Days the month is divided into</t>
        </is>
      </c>
      <c r="C44" s="16">
        <f>IF($C$22="fixed_days",$C$23,$C$24)</f>
        <v/>
      </c>
      <c r="D44" s="10" t="inlineStr">
        <is>
          <t>The divider. With fixed_days it is always 30. With actual_days it is the days they were meant to work. This is what turns a monthly salary into a daily rate.</t>
        </is>
      </c>
    </row>
    <row r="45" ht="26" customHeight="1">
      <c r="B45" s="8" t="inlineStr">
        <is>
          <t>Proportion of the month earned</t>
        </is>
      </c>
      <c r="C45" s="17">
        <f>IF($C$24&gt;0,MAX(0,$C$24-$C$25-$C$26)/$C$24,0)</f>
        <v/>
      </c>
      <c r="D45" s="10" t="inlineStr">
        <is>
          <t>Of the days they were meant to work, what fraction did they earn? Days meant to work, minus days not employed, minus days lost, all divided by days meant to work.</t>
        </is>
      </c>
    </row>
    <row r="46" ht="15" customHeight="1">
      <c r="B46" s="8" t="inlineStr">
        <is>
          <t>DAYS PAID FOR</t>
        </is>
      </c>
      <c r="C46" s="18">
        <f>ROUND($C$44*$C$45,2)</f>
        <v/>
      </c>
      <c r="D46" s="10" t="inlineStr">
        <is>
          <t>The divider multiplied by the proportion earned. Read the warning below — this is NOT simply days worked minus days lost.</t>
        </is>
      </c>
    </row>
    <row r="47" ht="42" customHeight="1">
      <c r="B47" s="14" t="inlineStr">
        <is>
          <t>⚠  THE MOST COMMON MISUNDERSTANDING.  Meant to work 26 days, lost 2, month divides by 30 → paid for 27.69 days, not 28. The system works out the PROPORTION earned (24 out of 26 = 92.3%) and applies it to 30. Because 26 and 30 are different numbers, subtracting gives a different answer from scaling. If your Excel and the HRMS disagree, check this first.</t>
        </is>
      </c>
      <c r="C47" s="15" t="n"/>
      <c r="D47" s="15" t="n"/>
      <c r="E47" s="15" t="n"/>
      <c r="F47" s="15" t="n"/>
      <c r="G47" s="15" t="n"/>
    </row>
    <row r="49" ht="24" customHeight="1">
      <c r="A49" s="3" t="n"/>
      <c r="B49" s="4" t="inlineStr">
        <is>
          <t>STEP 2  ·  PAY FOR THOSE DAYS</t>
        </is>
      </c>
      <c r="C49" s="3" t="n"/>
      <c r="D49" s="3" t="n"/>
      <c r="E49" s="3" t="n"/>
      <c r="F49" s="3" t="n"/>
      <c r="G49" s="3" t="n"/>
    </row>
    <row r="51" ht="15" customHeight="1">
      <c r="B51" s="8" t="inlineStr">
        <is>
          <t>Proportion of full pay</t>
        </is>
      </c>
      <c r="C51" s="17">
        <f>IF($C$44&gt;0,$C$46/$C$44,0)</f>
        <v/>
      </c>
      <c r="D51" s="10" t="inlineStr">
        <is>
          <t>Days paid for, divided by the days the month splits into. A full month gives 1.0000.</t>
        </is>
      </c>
    </row>
    <row r="52" ht="15" customHeight="1">
      <c r="B52" s="8" t="inlineStr">
        <is>
          <t>Salary earned this month</t>
        </is>
      </c>
      <c r="C52" s="19">
        <f>ROUND($C$18*$C$51,0)</f>
        <v/>
      </c>
      <c r="D52" s="10" t="inlineStr">
        <is>
          <t>The agreed salary multiplied by the proportion above. This is the pot that gets split up next.</t>
        </is>
      </c>
    </row>
    <row r="54" ht="24" customHeight="1">
      <c r="A54" s="3" t="n"/>
      <c r="B54" s="4" t="inlineStr">
        <is>
          <t>STEP 3  ·  SPLITTING THE PAY INTO NAMED PARTS</t>
        </is>
      </c>
      <c r="C54" s="3" t="n"/>
      <c r="D54" s="3" t="n"/>
      <c r="E54" s="3" t="n"/>
      <c r="F54" s="3" t="n"/>
      <c r="G54" s="3" t="n"/>
    </row>
    <row r="56" ht="28" customHeight="1">
      <c r="B56" s="5" t="inlineStr">
        <is>
          <t>The total is not paid as one lump. It is split into named components because tax and government rules treat them differently. The parts always add back up to the total.</t>
        </is>
      </c>
    </row>
    <row r="57" ht="15" customHeight="1">
      <c r="B57" s="8" t="inlineStr">
        <is>
          <t>Basic</t>
        </is>
      </c>
      <c r="C57" s="19">
        <f>ROUND($C$19/100*$C$52,0)</f>
        <v/>
      </c>
      <c r="D57" s="10" t="inlineStr">
        <is>
          <t>A percentage of what was earned. Basic is the anchor — several other figures derive from it.</t>
        </is>
      </c>
    </row>
    <row r="58" ht="15" customHeight="1">
      <c r="B58" s="8" t="inlineStr">
        <is>
          <t>House Rent Allowance</t>
        </is>
      </c>
      <c r="C58" s="19">
        <f>ROUND($C$20/100*$C$57,0)</f>
        <v/>
      </c>
      <c r="D58" s="10" t="inlineStr">
        <is>
          <t>A percentage of Basic, not of the total.</t>
        </is>
      </c>
    </row>
    <row r="59" ht="15" customHeight="1">
      <c r="B59" s="8" t="inlineStr">
        <is>
          <t>Other Allowance</t>
        </is>
      </c>
      <c r="C59" s="19">
        <f>MAX(0,$C$52-$C$57-$C$58)</f>
        <v/>
      </c>
      <c r="D59" s="10" t="inlineStr">
        <is>
          <t>Whatever is left over, so the parts always add to exactly the salary earned with nothing lost to rounding.</t>
        </is>
      </c>
    </row>
    <row r="60" ht="15" customHeight="1">
      <c r="B60" s="8" t="inlineStr">
        <is>
          <t>Performance incentive</t>
        </is>
      </c>
      <c r="C60" s="19">
        <f>$C$21</f>
        <v/>
      </c>
      <c r="D60" s="10" t="inlineStr">
        <is>
          <t>Paid in full regardless of days lost. Deliberate — an incentive is earned by results, not attendance.</t>
        </is>
      </c>
    </row>
    <row r="61" ht="26" customHeight="1">
      <c r="B61" s="8" t="inlineStr">
        <is>
          <t>Overtime</t>
        </is>
      </c>
      <c r="C61" s="19">
        <f>IF(AND($C$27&gt;0,$C$44&gt;0,$C$29&gt;0),ROUND($C$27*($C$18/($C$44*$C$29))*$C$28,0),0)</f>
        <v/>
      </c>
      <c r="D61" s="10" t="inlineStr">
        <is>
          <t>Hours × hourly rate × multiplier. The hourly rate comes from the FULL agreed salary divided by (days in month × hours in a day), not from the reduced pay.</t>
        </is>
      </c>
    </row>
    <row r="62" ht="26" customHeight="1">
      <c r="B62" s="8" t="inlineStr">
        <is>
          <t>Statutory bonus</t>
        </is>
      </c>
      <c r="C62" s="19">
        <f>IF(OR($C$39=0,ROUND($C$19/100*$C$18,0)&gt;21000),0,ROUND(ROUND(0.0833*MIN(ROUND($C$19/100*$C$18,0),MAX(7000,$C$32)),0)*$C$51,0))</f>
        <v/>
      </c>
      <c r="D62" s="10" t="inlineStr">
        <is>
          <t>8.33% of Basic, but only the first ₹7,000 of Basic counts, and anyone whose full Basic is above ₹21,000 gets nothing. Both limits come from the Payment of Bonus Act.</t>
        </is>
      </c>
    </row>
    <row r="63" ht="15" customHeight="1">
      <c r="B63" s="8" t="inlineStr">
        <is>
          <t>One-off addition</t>
        </is>
      </c>
      <c r="C63" s="19">
        <f>MAX(0,$C$31)</f>
        <v/>
      </c>
      <c r="D63" s="10" t="inlineStr">
        <is>
          <t>The positive part of the manual adjustment.</t>
        </is>
      </c>
    </row>
    <row r="64" ht="15" customHeight="1">
      <c r="B64" s="8" t="inlineStr">
        <is>
          <t>TOTAL EARNED (gross)</t>
        </is>
      </c>
      <c r="C64" s="20">
        <f>$C$57+$C$58+$C$59+$C$60+$C$61+$C$62+$C$63</f>
        <v/>
      </c>
      <c r="D64" s="10" t="inlineStr">
        <is>
          <t>Everything added together, before anything is taken off.</t>
        </is>
      </c>
    </row>
    <row r="66" ht="24" customHeight="1">
      <c r="A66" s="3" t="n"/>
      <c r="B66" s="4" t="inlineStr">
        <is>
          <t>STEP 4  ·  WHAT GETS TAKEN OFF</t>
        </is>
      </c>
      <c r="C66" s="3" t="n"/>
      <c r="D66" s="3" t="n"/>
      <c r="E66" s="3" t="n"/>
      <c r="F66" s="3" t="n"/>
      <c r="G66" s="3" t="n"/>
    </row>
    <row r="68" ht="28" customHeight="1">
      <c r="B68" s="5" t="inlineStr">
        <is>
          <t>Each deduction uses a DIFFERENT definition of 'your salary'. That is not a mistake — it is how the law is written, and it is the second biggest source of confusion after the days calculation.</t>
        </is>
      </c>
    </row>
    <row r="69" ht="15" customHeight="1">
      <c r="B69" s="8" t="inlineStr">
        <is>
          <t>Basic on a full month</t>
        </is>
      </c>
      <c r="C69" s="19">
        <f>ROUND($C$19/100*$C$18,0)</f>
        <v/>
      </c>
      <c r="D69" s="10" t="inlineStr">
        <is>
          <t>Basic as it would be with no days lost. Used for the eligibility tests, so a bad month cannot push somebody out of a scheme.</t>
        </is>
      </c>
    </row>
    <row r="70" ht="15" customHeight="1">
      <c r="B70" s="8" t="inlineStr">
        <is>
          <t>PF salary on a full month</t>
        </is>
      </c>
      <c r="C70" s="19">
        <f>$C$69+MAX(0,$C$18-$C$69-ROUND($C$20/100*$C$69,0))</f>
        <v/>
      </c>
      <c r="D70" s="10" t="inlineStr">
        <is>
          <t>Basic plus Other Allowance. House rent allowance is excluded from PF by law.</t>
        </is>
      </c>
    </row>
    <row r="71" ht="15" customHeight="1">
      <c r="B71" s="8" t="inlineStr">
        <is>
          <t>PF salary used this month</t>
        </is>
      </c>
      <c r="C71" s="21">
        <f>MIN($C$70,15000)*$C$51</f>
        <v/>
      </c>
      <c r="D71" s="10" t="inlineStr">
        <is>
          <t>Capped at ₹15,000 — PF is never worked out on more — then reduced for days lost.</t>
        </is>
      </c>
    </row>
    <row r="72" ht="15" customHeight="1">
      <c r="B72" s="8" t="inlineStr">
        <is>
          <t>Provident Fund taken</t>
        </is>
      </c>
      <c r="C72" s="19">
        <f>IF($C$35=0,0,ROUND(0.12*$C$71,0))</f>
        <v/>
      </c>
      <c r="D72" s="10" t="inlineStr">
        <is>
          <t>12% of the PF salary. Because of the cap this never exceeds ₹1,800 in a full month.</t>
        </is>
      </c>
    </row>
    <row r="73" ht="15" customHeight="1">
      <c r="B73" s="8" t="inlineStr">
        <is>
          <t>ESI salary on a full month</t>
        </is>
      </c>
      <c r="C73" s="19">
        <f>$C$69+ROUND($C$20/100*$C$69,0)+MAX(0,$C$18-$C$69-ROUND($C$20/100*$C$69,0))</f>
        <v/>
      </c>
      <c r="D73" s="10" t="inlineStr">
        <is>
          <t>Everything earned in a full month. Used ONLY to decide whether the person qualifies at all.</t>
        </is>
      </c>
    </row>
    <row r="74" ht="15" customHeight="1">
      <c r="B74" s="8" t="inlineStr">
        <is>
          <t>Qualifies for ESI?</t>
        </is>
      </c>
      <c r="C74" s="22">
        <f>IF($C$73&lt;=21000,"Yes","No — above the ₹21,000 limit")</f>
        <v/>
      </c>
      <c r="D74" s="10" t="inlineStr">
        <is>
          <t>Judged on the FULL month deliberately, so heavy absence cannot remove somebody's medical insurance.</t>
        </is>
      </c>
    </row>
    <row r="75" ht="26" customHeight="1">
      <c r="B75" s="8" t="inlineStr">
        <is>
          <t>State Insurance taken</t>
        </is>
      </c>
      <c r="C75" s="19">
        <f>IF(OR($C$36=0,$C$73&gt;21000),0,CEILING(0.0075*($C$57+$C$58+$C$59),1))</f>
        <v/>
      </c>
      <c r="D75" s="10" t="inlineStr">
        <is>
          <t>0.75% of what was ACTUALLY earned — the reduced figure, while the test above used the full one. Always rounded UP, as the law requires.</t>
        </is>
      </c>
    </row>
    <row r="76" ht="15" customHeight="1">
      <c r="B76" s="8" t="inlineStr">
        <is>
          <t>Labour Welfare Fund taken</t>
        </is>
      </c>
      <c r="C76" s="21">
        <f>IF($C$38=0,0,MIN(ROUND(0.002*($C$57+$C$58+$C$59),0),35))</f>
        <v/>
      </c>
      <c r="D76" s="10" t="inlineStr">
        <is>
          <t>0.20% of pay, capped at ₹35. Some states instead use a flat amount that includes paise, such as ₹0.75.</t>
        </is>
      </c>
    </row>
    <row r="77" ht="26" customHeight="1">
      <c r="B77" s="8" t="inlineStr">
        <is>
          <t>Professional Tax taken</t>
        </is>
      </c>
      <c r="C77" s="19">
        <f>IF($C$37=0,0,IF($C$64&lt;=15000,0,IF($C$64&lt;=20000,150,200)))</f>
        <v/>
      </c>
      <c r="D77" s="10" t="inlineStr">
        <is>
          <t>A fixed amount per earnings band, set by each state. THESE BANDS ARE AN EXAMPLE — replace them with your state's real figures. Unlike PF and ESI this looks at actual earnings, so a bad month can move somebody into a cheaper band.</t>
        </is>
      </c>
    </row>
    <row r="78" ht="15" customHeight="1">
      <c r="B78" s="8" t="inlineStr">
        <is>
          <t>Income tax (TDS)</t>
        </is>
      </c>
      <c r="C78" s="19">
        <f>$C$30</f>
        <v/>
      </c>
      <c r="D78" s="10" t="inlineStr">
        <is>
          <t>Exactly what was typed in. The system performs no tax calculation — no slabs, no exemptions, no annual projection.</t>
        </is>
      </c>
    </row>
    <row r="79" ht="15" customHeight="1">
      <c r="B79" s="8" t="inlineStr">
        <is>
          <t>One-off deduction</t>
        </is>
      </c>
      <c r="C79" s="19">
        <f>ABS(MIN(0,$C$31))</f>
        <v/>
      </c>
      <c r="D79" s="10" t="inlineStr">
        <is>
          <t>The negative part of the manual adjustment.</t>
        </is>
      </c>
    </row>
    <row r="80" ht="15" customHeight="1">
      <c r="B80" s="8" t="inlineStr">
        <is>
          <t>TOTAL TAKEN OFF</t>
        </is>
      </c>
      <c r="C80" s="20">
        <f>$C$72+$C$75+$C$76+$C$77+$C$78+$C$79</f>
        <v/>
      </c>
      <c r="D80" s="10" t="inlineStr">
        <is>
          <t>Everything above, added together.</t>
        </is>
      </c>
    </row>
    <row r="82" ht="24" customHeight="1">
      <c r="A82" s="3" t="n"/>
      <c r="B82" s="4" t="inlineStr">
        <is>
          <t>STEP 5  ·  WHAT REACHES THE BANK</t>
        </is>
      </c>
      <c r="C82" s="3" t="n"/>
      <c r="D82" s="3" t="n"/>
      <c r="E82" s="3" t="n"/>
      <c r="F82" s="3" t="n"/>
      <c r="G82" s="3" t="n"/>
    </row>
    <row r="84" ht="24" customHeight="1">
      <c r="B84" s="23" t="inlineStr">
        <is>
          <t>TAKE-HOME PAY</t>
        </is>
      </c>
      <c r="C84" s="24">
        <f>$C$64-$C$80</f>
        <v/>
      </c>
      <c r="D84" s="10" t="inlineStr">
        <is>
          <t>Total earned, minus total taken off. This is the figure actually transferred.</t>
        </is>
      </c>
    </row>
    <row r="86" ht="24" customHeight="1">
      <c r="A86" s="3" t="n"/>
      <c r="B86" s="4" t="inlineStr">
        <is>
          <t>WHAT THE COMPANY PAYS ON TOP  ·  never deducted from the employee</t>
        </is>
      </c>
      <c r="C86" s="3" t="n"/>
      <c r="D86" s="3" t="n"/>
      <c r="E86" s="3" t="n"/>
      <c r="F86" s="3" t="n"/>
      <c r="G86" s="3" t="n"/>
    </row>
    <row r="88" ht="15" customHeight="1">
      <c r="B88" s="8" t="inlineStr">
        <is>
          <t>Company's Provident Fund share</t>
        </is>
      </c>
      <c r="C88" s="19">
        <f>IF($C$35=0,0,ROUND(0.12*$C$71,0))</f>
        <v/>
      </c>
      <c r="D88" s="10" t="inlineStr">
        <is>
          <t>The company matches the employee's 12%.</t>
        </is>
      </c>
    </row>
    <row r="89" ht="15" customHeight="1">
      <c r="B89" s="8" t="inlineStr">
        <is>
          <t>Company's ESI share</t>
        </is>
      </c>
      <c r="C89" s="19">
        <f>IF(OR($C$36=0,$C$73&gt;21000),0,CEILING(0.0325*($C$57+$C$58+$C$59),1))</f>
        <v/>
      </c>
      <c r="D89" s="10" t="inlineStr">
        <is>
          <t>3.25% — over four times the employee's share.</t>
        </is>
      </c>
    </row>
    <row r="90" ht="15" customHeight="1">
      <c r="B90" s="8" t="inlineStr">
        <is>
          <t>Company's welfare fund share</t>
        </is>
      </c>
      <c r="C90" s="19">
        <f>IF($C$38=0,0,ROUND($C$76*2,0))</f>
        <v/>
      </c>
      <c r="D90" s="10" t="inlineStr">
        <is>
          <t>Twice the employee's contribution.</t>
        </is>
      </c>
    </row>
    <row r="91" ht="15" customHeight="1">
      <c r="B91" s="8" t="inlineStr">
        <is>
          <t>Gratuity set aside</t>
        </is>
      </c>
      <c r="C91" s="19">
        <f>ROUND(0.0481*$C$57,0)</f>
        <v/>
      </c>
      <c r="D91" s="10" t="inlineStr">
        <is>
          <t>4.81% of Basic, put aside towards the lump sum paid after five years.</t>
        </is>
      </c>
    </row>
    <row r="92" ht="15" customHeight="1">
      <c r="B92" s="8" t="inlineStr">
        <is>
          <t>TOTAL COST TO COMPANY</t>
        </is>
      </c>
      <c r="C92" s="20">
        <f>$C$64+$C$88+$C$89+$C$90+$C$91</f>
        <v/>
      </c>
      <c r="D92" s="10" t="inlineStr">
        <is>
          <t>What the employee earned, plus everything the company adds.</t>
        </is>
      </c>
    </row>
    <row r="94" ht="24" customHeight="1">
      <c r="A94" s="3" t="n"/>
      <c r="B94" s="4" t="inlineStr">
        <is>
          <t>PART 3  ·  CHECK AGAINST THE SYSTEM</t>
        </is>
      </c>
      <c r="C94" s="3" t="n"/>
      <c r="D94" s="3" t="n"/>
      <c r="E94" s="3" t="n"/>
      <c r="F94" s="3" t="n"/>
      <c r="G94" s="3" t="n"/>
    </row>
    <row r="96" ht="28" customHeight="1">
      <c r="B96" s="5" t="inlineStr">
        <is>
          <t>Open the person's payslip in the HRMS and type what it shows into the yellow column. The sheet compares it with its own answer and tells you where they disagree.</t>
        </is>
      </c>
    </row>
    <row r="97" ht="15" customHeight="1">
      <c r="B97" s="10" t="inlineStr">
        <is>
          <t>A difference of ₹1 or less is almost always harmless rounding. Anything larger is worth understanding — use the troubleshooting table below.</t>
        </is>
      </c>
    </row>
    <row r="98">
      <c r="B98" s="25" t="inlineStr">
        <is>
          <t>What to compare</t>
        </is>
      </c>
      <c r="C98" s="25" t="inlineStr">
        <is>
          <t>This sheet says</t>
        </is>
      </c>
      <c r="D98" s="25" t="inlineStr">
        <is>
          <t>HRMS says</t>
        </is>
      </c>
      <c r="E98" s="25" t="inlineStr">
        <is>
          <t>Difference</t>
        </is>
      </c>
      <c r="F98" s="25" t="inlineStr">
        <is>
          <t>Verdict</t>
        </is>
      </c>
      <c r="G98" s="25" t="inlineStr">
        <is>
          <t>Where to find it on the payslip</t>
        </is>
      </c>
    </row>
    <row r="99">
      <c r="B99" s="8" t="inlineStr">
        <is>
          <t>Days paid for</t>
        </is>
      </c>
      <c r="C99" s="26">
        <f>$C$46</f>
        <v/>
      </c>
      <c r="D99" s="12" t="n"/>
      <c r="E99" s="27">
        <f>IF($D$99="","",$D$99-$C$99)</f>
        <v/>
      </c>
      <c r="F99" s="28">
        <f>IF($D$99="","not checked",IF(ABS($D$99-$C$99)&lt;=1,"MATCH","DIFFERS"))</f>
        <v/>
      </c>
      <c r="G99" s="10" t="inlineStr">
        <is>
          <t>Shown as 'payment days' or 'paid days'.</t>
        </is>
      </c>
    </row>
    <row r="100">
      <c r="B100" s="8" t="inlineStr">
        <is>
          <t>Basic</t>
        </is>
      </c>
      <c r="C100" s="29">
        <f>$C$57</f>
        <v/>
      </c>
      <c r="D100" s="9" t="n"/>
      <c r="E100" s="30">
        <f>IF($D$100="","",$D$100-$C$100)</f>
        <v/>
      </c>
      <c r="F100" s="28">
        <f>IF($D$100="","not checked",IF(ABS($D$100-$C$100)&lt;=1,"MATCH","DIFFERS"))</f>
        <v/>
      </c>
      <c r="G100" s="10" t="inlineStr">
        <is>
          <t>The Basic line in the earnings list.</t>
        </is>
      </c>
    </row>
    <row r="101">
      <c r="B101" s="8" t="inlineStr">
        <is>
          <t>House Rent Allowance</t>
        </is>
      </c>
      <c r="C101" s="29">
        <f>$C$58</f>
        <v/>
      </c>
      <c r="D101" s="9" t="n"/>
      <c r="E101" s="30">
        <f>IF($D$101="","",$D$101-$C$101)</f>
        <v/>
      </c>
      <c r="F101" s="28">
        <f>IF($D$101="","not checked",IF(ABS($D$101-$C$101)&lt;=1,"MATCH","DIFFERS"))</f>
        <v/>
      </c>
      <c r="G101" s="10" t="inlineStr">
        <is>
          <t>The HRA line.</t>
        </is>
      </c>
    </row>
    <row r="102">
      <c r="B102" s="8" t="inlineStr">
        <is>
          <t>Other Allowance</t>
        </is>
      </c>
      <c r="C102" s="29">
        <f>$C$59</f>
        <v/>
      </c>
      <c r="D102" s="9" t="n"/>
      <c r="E102" s="30">
        <f>IF($D$102="","",$D$102-$C$102)</f>
        <v/>
      </c>
      <c r="F102" s="28">
        <f>IF($D$102="","not checked",IF(ABS($D$102-$C$102)&lt;=1,"MATCH","DIFFERS"))</f>
        <v/>
      </c>
      <c r="G102" s="10" t="inlineStr">
        <is>
          <t>The Other Allowance line.</t>
        </is>
      </c>
    </row>
    <row r="103">
      <c r="B103" s="23" t="inlineStr">
        <is>
          <t>TOTAL EARNED (gross)</t>
        </is>
      </c>
      <c r="C103" s="29">
        <f>$C$64</f>
        <v/>
      </c>
      <c r="D103" s="9" t="n"/>
      <c r="E103" s="30">
        <f>IF($D$103="","",$D$103-$C$103)</f>
        <v/>
      </c>
      <c r="F103" s="28">
        <f>IF($D$103="","not checked",IF(ABS($D$103-$C$103)&lt;=1,"MATCH","DIFFERS"))</f>
        <v/>
      </c>
      <c r="G103" s="10" t="inlineStr">
        <is>
          <t>The gross earnings total.</t>
        </is>
      </c>
    </row>
    <row r="104">
      <c r="B104" s="8" t="inlineStr">
        <is>
          <t>Provident Fund</t>
        </is>
      </c>
      <c r="C104" s="29">
        <f>$C$72</f>
        <v/>
      </c>
      <c r="D104" s="9" t="n"/>
      <c r="E104" s="30">
        <f>IF($D$104="","",$D$104-$C$104)</f>
        <v/>
      </c>
      <c r="F104" s="28">
        <f>IF($D$104="","not checked",IF(ABS($D$104-$C$104)&lt;=1,"MATCH","DIFFERS"))</f>
        <v/>
      </c>
      <c r="G104" s="10" t="inlineStr">
        <is>
          <t>The PF or EPF deduction line.</t>
        </is>
      </c>
    </row>
    <row r="105">
      <c r="B105" s="8" t="inlineStr">
        <is>
          <t>State Insurance</t>
        </is>
      </c>
      <c r="C105" s="29">
        <f>$C$75</f>
        <v/>
      </c>
      <c r="D105" s="9" t="n"/>
      <c r="E105" s="30">
        <f>IF($D$105="","",$D$105-$C$105)</f>
        <v/>
      </c>
      <c r="F105" s="28">
        <f>IF($D$105="","not checked",IF(ABS($D$105-$C$105)&lt;=1,"MATCH","DIFFERS"))</f>
        <v/>
      </c>
      <c r="G105" s="10" t="inlineStr">
        <is>
          <t>The ESI deduction line.</t>
        </is>
      </c>
    </row>
    <row r="106">
      <c r="B106" s="8" t="inlineStr">
        <is>
          <t>Labour Welfare Fund</t>
        </is>
      </c>
      <c r="C106" s="31">
        <f>$C$76</f>
        <v/>
      </c>
      <c r="D106" s="32" t="n"/>
      <c r="E106" s="33">
        <f>IF($D$106="","",$D$106-$C$106)</f>
        <v/>
      </c>
      <c r="F106" s="28">
        <f>IF($D$106="","not checked",IF(ABS($D$106-$C$106)&lt;=1,"MATCH","DIFFERS"))</f>
        <v/>
      </c>
      <c r="G106" s="10" t="inlineStr">
        <is>
          <t>The LWF deduction line.</t>
        </is>
      </c>
    </row>
    <row r="107">
      <c r="B107" s="8" t="inlineStr">
        <is>
          <t>Professional Tax</t>
        </is>
      </c>
      <c r="C107" s="29">
        <f>$C$77</f>
        <v/>
      </c>
      <c r="D107" s="9" t="n"/>
      <c r="E107" s="30">
        <f>IF($D$107="","",$D$107-$C$107)</f>
        <v/>
      </c>
      <c r="F107" s="28">
        <f>IF($D$107="","not checked",IF(ABS($D$107-$C$107)&lt;=1,"MATCH","DIFFERS"))</f>
        <v/>
      </c>
      <c r="G107" s="10" t="inlineStr">
        <is>
          <t>The PT deduction line.</t>
        </is>
      </c>
    </row>
    <row r="108">
      <c r="B108" s="8" t="inlineStr">
        <is>
          <t>Income tax (TDS)</t>
        </is>
      </c>
      <c r="C108" s="29">
        <f>$C$78</f>
        <v/>
      </c>
      <c r="D108" s="9" t="n"/>
      <c r="E108" s="30">
        <f>IF($D$108="","",$D$108-$C$108)</f>
        <v/>
      </c>
      <c r="F108" s="28">
        <f>IF($D$108="","not checked",IF(ABS($D$108-$C$108)&lt;=1,"MATCH","DIFFERS"))</f>
        <v/>
      </c>
      <c r="G108" s="10" t="inlineStr">
        <is>
          <t>The TDS deduction line.</t>
        </is>
      </c>
    </row>
    <row r="109">
      <c r="B109" s="23" t="inlineStr">
        <is>
          <t>TOTAL TAKEN OFF</t>
        </is>
      </c>
      <c r="C109" s="29">
        <f>$C$80</f>
        <v/>
      </c>
      <c r="D109" s="9" t="n"/>
      <c r="E109" s="30">
        <f>IF($D$109="","",$D$109-$C$109)</f>
        <v/>
      </c>
      <c r="F109" s="28">
        <f>IF($D$109="","not checked",IF(ABS($D$109-$C$109)&lt;=1,"MATCH","DIFFERS"))</f>
        <v/>
      </c>
      <c r="G109" s="10" t="inlineStr">
        <is>
          <t>The total deductions figure.</t>
        </is>
      </c>
    </row>
    <row r="110">
      <c r="B110" s="23" t="inlineStr">
        <is>
          <t>TAKE-HOME PAY</t>
        </is>
      </c>
      <c r="C110" s="31">
        <f>$C$84</f>
        <v/>
      </c>
      <c r="D110" s="32" t="n"/>
      <c r="E110" s="33">
        <f>IF($D$110="","",$D$110-$C$110)</f>
        <v/>
      </c>
      <c r="F110" s="28">
        <f>IF($D$110="","not checked",IF(ABS($D$110-$C$110)&lt;=1,"MATCH","DIFFERS"))</f>
        <v/>
      </c>
      <c r="G110" s="10" t="inlineStr">
        <is>
          <t>The net pay figure — the amount transferred.</t>
        </is>
      </c>
    </row>
    <row r="111">
      <c r="B111" s="23" t="inlineStr">
        <is>
          <t>Overall result</t>
        </is>
      </c>
      <c r="C111" s="34">
        <f>IF(COUNTIF($F$99:$F$110,"DIFFERS")=0,IF(COUNTIF($F$99:$F$110,"not checked")=12,"nothing entered yet","EVERYTHING MATCHES"),COUNTIF($F$99:$F$110,"DIFFERS")&amp;" row(s) differ")</f>
        <v/>
      </c>
      <c r="D111" s="35" t="n"/>
      <c r="E111" s="35" t="n"/>
      <c r="F111" s="36" t="n"/>
      <c r="G111" s="37" t="inlineStr">
        <is>
          <t>Counts how many rows above disagree by more than ₹1.</t>
        </is>
      </c>
    </row>
    <row r="113" ht="24" customHeight="1">
      <c r="A113" s="3" t="n"/>
      <c r="B113" s="4" t="inlineStr">
        <is>
          <t>IF THE TWO DISAGREE  ·  the usual causes, most likely first</t>
        </is>
      </c>
      <c r="C113" s="3" t="n"/>
      <c r="D113" s="3" t="n"/>
      <c r="E113" s="3" t="n"/>
      <c r="F113" s="3" t="n"/>
      <c r="G113" s="3" t="n"/>
    </row>
    <row r="115">
      <c r="B115" s="25" t="inlineStr">
        <is>
          <t>What you see</t>
        </is>
      </c>
      <c r="C115" s="25" t="inlineStr">
        <is>
          <t>Most likely cause</t>
        </is>
      </c>
      <c r="D115" s="25" t="inlineStr">
        <is>
          <t>How to confirm it</t>
        </is>
      </c>
      <c r="E115" s="35" t="n"/>
      <c r="F115" s="35" t="n"/>
      <c r="G115" s="36" t="n"/>
    </row>
    <row r="116" ht="15" customHeight="1">
      <c r="B116" s="38" t="inlineStr">
        <is>
          <t>Days paid for is close but not equal</t>
        </is>
      </c>
      <c r="C116" s="39" t="inlineStr">
        <is>
          <t>You used 'days worked minus days lost'. The system scales a proportion onto the divider instead.</t>
        </is>
      </c>
      <c r="D116" s="39" t="inlineStr">
        <is>
          <t>Check the method box says fixed_days and the divider says 30. Then 26 days meant, 2 lost gives 27.69, not 28.</t>
        </is>
      </c>
      <c r="E116" s="35" t="n"/>
      <c r="F116" s="35" t="n"/>
      <c r="G116" s="36" t="n"/>
    </row>
    <row r="117" ht="15" customHeight="1">
      <c r="B117" s="40" t="inlineStr">
        <is>
          <t>Everything is out by the same proportion</t>
        </is>
      </c>
      <c r="C117" s="41" t="inlineStr">
        <is>
          <t>The days paid for are wrong, so every figure derived from them is wrong by the same ratio.</t>
        </is>
      </c>
      <c r="D117" s="41" t="inlineStr">
        <is>
          <t>Fix the days first and re-check. Only look at the money rows once the days row says MATCH.</t>
        </is>
      </c>
      <c r="E117" s="35" t="n"/>
      <c r="F117" s="35" t="n"/>
      <c r="G117" s="36" t="n"/>
    </row>
    <row r="118" ht="15" customHeight="1">
      <c r="B118" s="38" t="inlineStr">
        <is>
          <t>Gross matches but deductions do not</t>
        </is>
      </c>
      <c r="C118" s="39" t="inlineStr">
        <is>
          <t>A deduction is switched on in one place and off in the other.</t>
        </is>
      </c>
      <c r="D118" s="39" t="inlineStr">
        <is>
          <t>Remember all four are currently OFF in your system, so the HRMS should show zero for PF, ESI, PT and LWF.</t>
        </is>
      </c>
      <c r="E118" s="35" t="n"/>
      <c r="F118" s="35" t="n"/>
      <c r="G118" s="36" t="n"/>
    </row>
    <row r="119" ht="15" customHeight="1">
      <c r="B119" s="40" t="inlineStr">
        <is>
          <t>Provident Fund differs</t>
        </is>
      </c>
      <c r="C119" s="41" t="inlineStr">
        <is>
          <t>The ₹15,000 cap. PF is never worked out on more than ₹15,000 of salary.</t>
        </is>
      </c>
      <c r="D119" s="41" t="inlineStr">
        <is>
          <t>If the person earns above that, PF should be ₹1,800 in a full month whatever their salary.</t>
        </is>
      </c>
      <c r="E119" s="35" t="n"/>
      <c r="F119" s="35" t="n"/>
      <c r="G119" s="36" t="n"/>
    </row>
    <row r="120" ht="15" customHeight="1">
      <c r="B120" s="38" t="inlineStr">
        <is>
          <t>State Insurance differs by a rupee</t>
        </is>
      </c>
      <c r="C120" s="39" t="inlineStr">
        <is>
          <t>ESI always rounds UP, never to the nearest rupee.</t>
        </is>
      </c>
      <c r="D120" s="39" t="inlineStr">
        <is>
          <t>0.75% of ₹21,000 is ₹157.50, which becomes ₹158, not ₹157.</t>
        </is>
      </c>
      <c r="E120" s="35" t="n"/>
      <c r="F120" s="35" t="n"/>
      <c r="G120" s="36" t="n"/>
    </row>
    <row r="121" ht="15" customHeight="1">
      <c r="B121" s="40" t="inlineStr">
        <is>
          <t>State Insurance is zero when you expected a figure</t>
        </is>
      </c>
      <c r="C121" s="41" t="inlineStr">
        <is>
          <t>The person earns above the ₹21,000 limit, so they are not covered.</t>
        </is>
      </c>
      <c r="D121" s="41" t="inlineStr">
        <is>
          <t>Check the 'Qualifies for ESI?' row above.</t>
        </is>
      </c>
      <c r="E121" s="35" t="n"/>
      <c r="F121" s="35" t="n"/>
      <c r="G121" s="36" t="n"/>
    </row>
    <row r="122" ht="15" customHeight="1">
      <c r="B122" s="38" t="inlineStr">
        <is>
          <t>Professional Tax differs</t>
        </is>
      </c>
      <c r="C122" s="39" t="inlineStr">
        <is>
          <t>The bands in this sheet are an EXAMPLE, not your state's real figures.</t>
        </is>
      </c>
      <c r="D122" s="39" t="inlineStr">
        <is>
          <t>Replace them with the real bands, or switch PT off — your system has none configured for any state.</t>
        </is>
      </c>
      <c r="E122" s="35" t="n"/>
      <c r="F122" s="35" t="n"/>
      <c r="G122" s="36" t="n"/>
    </row>
    <row r="123" ht="15" customHeight="1">
      <c r="B123" s="40" t="inlineStr">
        <is>
          <t>Take-home is out by a rupee or two</t>
        </is>
      </c>
      <c r="C123" s="41" t="inlineStr">
        <is>
          <t>Ordinary rounding. Each component is rounded on its own, and the totals are not rounded again.</t>
        </is>
      </c>
      <c r="D123" s="41" t="inlineStr">
        <is>
          <t>Differences up to about ₹1 are normal and the sheet marks them as MATCH.</t>
        </is>
      </c>
      <c r="E123" s="35" t="n"/>
      <c r="F123" s="35" t="n"/>
      <c r="G123" s="36" t="n"/>
    </row>
    <row r="124" ht="15" customHeight="1">
      <c r="B124" s="38" t="inlineStr">
        <is>
          <t>Income tax differs</t>
        </is>
      </c>
      <c r="C124" s="39" t="inlineStr">
        <is>
          <t>Somebody changed the TDS figure on the employee record after the payslip was produced.</t>
        </is>
      </c>
      <c r="D124" s="39" t="inlineStr">
        <is>
          <t>The system never calculates tax, so this figure can only come from a person typing it.</t>
        </is>
      </c>
      <c r="E124" s="35" t="n"/>
      <c r="F124" s="35" t="n"/>
      <c r="G124" s="36" t="n"/>
    </row>
    <row r="125" ht="15" customHeight="1">
      <c r="B125" s="40" t="inlineStr">
        <is>
          <t>Overtime differs</t>
        </is>
      </c>
      <c r="C125" s="41" t="inlineStr">
        <is>
          <t>The hourly rate divides by the pay divider (30), not by the real number of working days.</t>
        </is>
      </c>
      <c r="D125" s="41" t="inlineStr">
        <is>
          <t>So the rate is salary ÷ (30 × 8) whatever the month's actual roster looks like.</t>
        </is>
      </c>
      <c r="E125" s="35" t="n"/>
      <c r="F125" s="35" t="n"/>
      <c r="G125" s="36" t="n"/>
    </row>
    <row r="127" ht="24" customHeight="1">
      <c r="A127" s="3" t="n"/>
      <c r="B127" s="4" t="inlineStr">
        <is>
          <t>WHERE THE DAY COUNTS COME FROM</t>
        </is>
      </c>
      <c r="C127" s="3" t="n"/>
      <c r="D127" s="3" t="n"/>
      <c r="E127" s="3" t="n"/>
      <c r="F127" s="3" t="n"/>
      <c r="G127" s="3" t="n"/>
    </row>
    <row r="129" ht="15" customHeight="1">
      <c r="B129" s="5" t="inlineStr">
        <is>
          <t>Every date in the month is sorted into one of three buckets, in this order of priority:</t>
        </is>
      </c>
    </row>
    <row r="130">
      <c r="B130" s="25" t="inlineStr">
        <is>
          <t>Bucket</t>
        </is>
      </c>
      <c r="C130" s="25" t="inlineStr">
        <is>
          <t>When</t>
        </is>
      </c>
      <c r="D130" s="25" t="inlineStr">
        <is>
          <t>Does it affect pay?</t>
        </is>
      </c>
      <c r="E130" s="35" t="n"/>
      <c r="F130" s="35" t="n"/>
      <c r="G130" s="36" t="n"/>
    </row>
    <row r="131" ht="26" customHeight="1">
      <c r="B131" s="38" t="inlineStr">
        <is>
          <t>1. Rest day</t>
        </is>
      </c>
      <c r="C131" s="39" t="inlineStr">
        <is>
          <t>The person's weekly off, such as Sunday.</t>
        </is>
      </c>
      <c r="D131" s="39" t="inlineStr">
        <is>
          <t>No, in either direction. It is not a day they were meant to work, and an absence mark on it costs nothing. Rest days are invisible to pay.</t>
        </is>
      </c>
      <c r="E131" s="35" t="n"/>
      <c r="F131" s="35" t="n"/>
      <c r="G131" s="36" t="n"/>
    </row>
    <row r="132" ht="26" customHeight="1">
      <c r="B132" s="40" t="inlineStr">
        <is>
          <t>2. Public holiday</t>
        </is>
      </c>
      <c r="C132" s="41" t="inlineStr">
        <is>
          <t>A declared holiday that is not already a rest day.</t>
        </is>
      </c>
      <c r="D132" s="41" t="inlineStr">
        <is>
          <t>It counts as a day meant to work and is paid, so it slightly reduces the value of every other day. A holiday on a rest day stays a rest day.</t>
        </is>
      </c>
      <c r="E132" s="35" t="n"/>
      <c r="F132" s="35" t="n"/>
      <c r="G132" s="36" t="n"/>
    </row>
    <row r="133" ht="15" customHeight="1">
      <c r="B133" s="38" t="inlineStr">
        <is>
          <t>3. Working day</t>
        </is>
      </c>
      <c r="C133" s="39" t="inlineStr">
        <is>
          <t>Everything else.</t>
        </is>
      </c>
      <c r="D133" s="39" t="inlineStr">
        <is>
          <t>Yes. These are the days that can be lost.</t>
        </is>
      </c>
      <c r="E133" s="35" t="n"/>
      <c r="F133" s="35" t="n"/>
      <c r="G133" s="36" t="n"/>
    </row>
    <row r="134" ht="15" customHeight="1">
      <c r="B134" s="5" t="inlineStr">
        <is>
          <t>Which days are rest days is decided by looking in three places. The FIRST one with an answer wins:</t>
        </is>
      </c>
    </row>
    <row r="135">
      <c r="B135" s="25" t="inlineStr">
        <is>
          <t>Order</t>
        </is>
      </c>
      <c r="C135" s="25" t="inlineStr">
        <is>
          <t>Where the system looks</t>
        </is>
      </c>
      <c r="D135" s="25" t="inlineStr">
        <is>
          <t>What it means</t>
        </is>
      </c>
      <c r="E135" s="35" t="n"/>
      <c r="F135" s="35" t="n"/>
      <c r="G135" s="36" t="n"/>
    </row>
    <row r="136" ht="15" customHeight="1">
      <c r="B136" s="38" t="inlineStr">
        <is>
          <t>First</t>
        </is>
      </c>
      <c r="C136" s="39" t="inlineStr">
        <is>
          <t>The person's shift</t>
        </is>
      </c>
      <c r="D136" s="39" t="inlineStr">
        <is>
          <t>If their shift names its off days, that decides it.</t>
        </is>
      </c>
      <c r="E136" s="35" t="n"/>
      <c r="F136" s="35" t="n"/>
      <c r="G136" s="36" t="n"/>
    </row>
    <row r="137" ht="15" customHeight="1">
      <c r="B137" s="40" t="inlineStr">
        <is>
          <t>Second</t>
        </is>
      </c>
      <c r="C137" s="41" t="inlineStr">
        <is>
          <t>Their leave policy</t>
        </is>
      </c>
      <c r="D137" s="41" t="inlineStr">
        <is>
          <t>If the shift says nothing, the leave policy decides.</t>
        </is>
      </c>
      <c r="E137" s="35" t="n"/>
      <c r="F137" s="35" t="n"/>
      <c r="G137" s="36" t="n"/>
    </row>
    <row r="138" ht="15" customHeight="1">
      <c r="B138" s="38" t="inlineStr">
        <is>
          <t>Third</t>
        </is>
      </c>
      <c r="C138" s="39" t="inlineStr">
        <is>
          <t>The company work week</t>
        </is>
      </c>
      <c r="D138" s="39" t="inlineStr">
        <is>
          <t>If neither says anything, the company setting decides. Yours is Monday to Friday.</t>
        </is>
      </c>
      <c r="E138" s="35" t="n"/>
      <c r="F138" s="35" t="n"/>
      <c r="G138" s="36" t="n"/>
    </row>
    <row r="139" ht="15" customHeight="1">
      <c r="B139" s="5" t="inlineStr">
        <is>
          <t>A blank answer at any level passes the question down. Blank never means 'works every day'.</t>
        </is>
      </c>
    </row>
    <row r="140" ht="15" customHeight="1">
      <c r="B140" s="5" t="inlineStr">
        <is>
          <t>Then each working day is given a cost, from 0 (fully paid) to 1 (not paid at all):</t>
        </is>
      </c>
    </row>
    <row r="141">
      <c r="B141" s="25" t="inlineStr">
        <is>
          <t>Attendance mark</t>
        </is>
      </c>
      <c r="C141" s="25" t="inlineStr">
        <is>
          <t>Cost</t>
        </is>
      </c>
      <c r="D141" s="25" t="inlineStr">
        <is>
          <t>Meaning</t>
        </is>
      </c>
      <c r="E141" s="35" t="n"/>
      <c r="F141" s="35" t="n"/>
      <c r="G141" s="36" t="n"/>
    </row>
    <row r="142" ht="15" customHeight="1">
      <c r="B142" s="38" t="inlineStr">
        <is>
          <t>Present</t>
        </is>
      </c>
      <c r="C142" s="39" t="inlineStr">
        <is>
          <t>0</t>
        </is>
      </c>
      <c r="D142" s="39" t="inlineStr">
        <is>
          <t>Full pay.</t>
        </is>
      </c>
      <c r="E142" s="35" t="n"/>
      <c r="F142" s="35" t="n"/>
      <c r="G142" s="36" t="n"/>
    </row>
    <row r="143" ht="15" customHeight="1">
      <c r="B143" s="40" t="inlineStr">
        <is>
          <t>Half day</t>
        </is>
      </c>
      <c r="C143" s="41" t="inlineStr">
        <is>
          <t>0.5</t>
        </is>
      </c>
      <c r="D143" s="41" t="inlineStr">
        <is>
          <t>Half pay, and half a day comes off the leave balance.</t>
        </is>
      </c>
      <c r="E143" s="35" t="n"/>
      <c r="F143" s="35" t="n"/>
      <c r="G143" s="36" t="n"/>
    </row>
    <row r="144" ht="15" customHeight="1">
      <c r="B144" s="38" t="inlineStr">
        <is>
          <t>Short punch / half day with leave</t>
        </is>
      </c>
      <c r="C144" s="39" t="inlineStr">
        <is>
          <t>0.5</t>
        </is>
      </c>
      <c r="D144" s="39" t="inlineStr">
        <is>
          <t>Half pay.</t>
        </is>
      </c>
      <c r="E144" s="35" t="n"/>
      <c r="F144" s="35" t="n"/>
      <c r="G144" s="36" t="n"/>
    </row>
    <row r="145" ht="15" customHeight="1">
      <c r="B145" s="40" t="inlineStr">
        <is>
          <t>Missed punch</t>
        </is>
      </c>
      <c r="C145" s="41" t="inlineStr">
        <is>
          <t>0 for the first 3, then 0.5</t>
        </is>
      </c>
      <c r="D145" s="41" t="inlineStr">
        <is>
          <t>Forgetting to clock in is forgiven three times a month; after that it costs half a day.</t>
        </is>
      </c>
      <c r="E145" s="35" t="n"/>
      <c r="F145" s="35" t="n"/>
      <c r="G145" s="36" t="n"/>
    </row>
    <row r="146" ht="15" customHeight="1">
      <c r="B146" s="38" t="inlineStr">
        <is>
          <t>Absent, or no punch at all</t>
        </is>
      </c>
      <c r="C146" s="39" t="inlineStr">
        <is>
          <t>1</t>
        </is>
      </c>
      <c r="D146" s="39" t="inlineStr">
        <is>
          <t>No pay for that day.</t>
        </is>
      </c>
      <c r="E146" s="35" t="n"/>
      <c r="F146" s="35" t="n"/>
      <c r="G146" s="36" t="n"/>
    </row>
    <row r="147" ht="15" customHeight="1">
      <c r="B147" s="40" t="inlineStr">
        <is>
          <t>Approved paid leave</t>
        </is>
      </c>
      <c r="C147" s="41" t="inlineStr">
        <is>
          <t>0</t>
        </is>
      </c>
      <c r="D147" s="41" t="inlineStr">
        <is>
          <t>Full pay. Beats whatever the attendance record says.</t>
        </is>
      </c>
      <c r="E147" s="35" t="n"/>
      <c r="F147" s="35" t="n"/>
      <c r="G147" s="36" t="n"/>
    </row>
    <row r="148" ht="15" customHeight="1">
      <c r="B148" s="38" t="inlineStr">
        <is>
          <t>Approved unpaid leave</t>
        </is>
      </c>
      <c r="C148" s="39" t="inlineStr">
        <is>
          <t>1</t>
        </is>
      </c>
      <c r="D148" s="39" t="inlineStr">
        <is>
          <t>No pay. Also beats the attendance record.</t>
        </is>
      </c>
      <c r="E148" s="35" t="n"/>
      <c r="F148" s="35" t="n"/>
      <c r="G148" s="36" t="n"/>
    </row>
    <row r="149" ht="15" customHeight="1">
      <c r="B149" s="40" t="inlineStr">
        <is>
          <t>Attendance corrected and approved</t>
        </is>
      </c>
      <c r="C149" s="41" t="inlineStr">
        <is>
          <t>0</t>
        </is>
      </c>
      <c r="D149" s="41" t="inlineStr">
        <is>
          <t>A manager approving a correction restores full pay, overriding everything else.</t>
        </is>
      </c>
      <c r="E149" s="35" t="n"/>
      <c r="F149" s="35" t="n"/>
      <c r="G149" s="36" t="n"/>
    </row>
    <row r="150" ht="15" customHeight="1">
      <c r="B150" s="38" t="inlineStr">
        <is>
          <t>No record at all</t>
        </is>
      </c>
      <c r="C150" s="39" t="inlineStr">
        <is>
          <t>0</t>
        </is>
      </c>
      <c r="D150" s="39" t="inlineStr">
        <is>
          <t>Your system treats an unmarked day as present, so it costs nothing.</t>
        </is>
      </c>
      <c r="E150" s="35" t="n"/>
      <c r="F150" s="35" t="n"/>
      <c r="G150" s="36" t="n"/>
    </row>
    <row r="152" ht="24" customHeight="1">
      <c r="A152" s="3" t="n"/>
      <c r="B152" s="4" t="inlineStr">
        <is>
          <t>EVERY EQUATION, IN ORDER</t>
        </is>
      </c>
      <c r="C152" s="3" t="n"/>
      <c r="D152" s="3" t="n"/>
      <c r="E152" s="3" t="n"/>
      <c r="F152" s="3" t="n"/>
      <c r="G152" s="3" t="n"/>
    </row>
    <row r="154">
      <c r="B154" s="25" t="inlineStr">
        <is>
          <t>#</t>
        </is>
      </c>
      <c r="C154" s="25" t="inlineStr">
        <is>
          <t>In plain words</t>
        </is>
      </c>
      <c r="D154" s="25" t="inlineStr">
        <is>
          <t>The arithmetic</t>
        </is>
      </c>
      <c r="E154" s="35" t="n"/>
      <c r="F154" s="35" t="n"/>
      <c r="G154" s="36" t="n"/>
    </row>
    <row r="155" ht="15" customHeight="1">
      <c r="B155" s="38" t="inlineStr">
        <is>
          <t>1</t>
        </is>
      </c>
      <c r="C155" s="39" t="inlineStr">
        <is>
          <t>Days the month divides into</t>
        </is>
      </c>
      <c r="D155" s="39" t="inlineStr">
        <is>
          <t>If fixed method: the fixed number (30). Otherwise: days meant to work.</t>
        </is>
      </c>
      <c r="E155" s="35" t="n"/>
      <c r="F155" s="35" t="n"/>
      <c r="G155" s="36" t="n"/>
    </row>
    <row r="156" ht="15" customHeight="1">
      <c r="B156" s="40" t="inlineStr">
        <is>
          <t>2</t>
        </is>
      </c>
      <c r="C156" s="41" t="inlineStr">
        <is>
          <t>Proportion earned</t>
        </is>
      </c>
      <c r="D156" s="41" t="inlineStr">
        <is>
          <t>(days meant to work − days not employed − days lost) ÷ days meant to work</t>
        </is>
      </c>
      <c r="E156" s="35" t="n"/>
      <c r="F156" s="35" t="n"/>
      <c r="G156" s="36" t="n"/>
    </row>
    <row r="157" ht="15" customHeight="1">
      <c r="B157" s="38" t="inlineStr">
        <is>
          <t>3</t>
        </is>
      </c>
      <c r="C157" s="39" t="inlineStr">
        <is>
          <t>Days paid for</t>
        </is>
      </c>
      <c r="D157" s="39" t="inlineStr">
        <is>
          <t>days the month divides into × proportion earned</t>
        </is>
      </c>
      <c r="E157" s="35" t="n"/>
      <c r="F157" s="35" t="n"/>
      <c r="G157" s="36" t="n"/>
    </row>
    <row r="158" ht="15" customHeight="1">
      <c r="B158" s="40" t="inlineStr">
        <is>
          <t>4</t>
        </is>
      </c>
      <c r="C158" s="41" t="inlineStr">
        <is>
          <t>Proportion of full pay</t>
        </is>
      </c>
      <c r="D158" s="41" t="inlineStr">
        <is>
          <t>days paid for ÷ days the month divides into</t>
        </is>
      </c>
      <c r="E158" s="35" t="n"/>
      <c r="F158" s="35" t="n"/>
      <c r="G158" s="36" t="n"/>
    </row>
    <row r="159" ht="15" customHeight="1">
      <c r="B159" s="38" t="inlineStr">
        <is>
          <t>5</t>
        </is>
      </c>
      <c r="C159" s="39" t="inlineStr">
        <is>
          <t>Salary earned</t>
        </is>
      </c>
      <c r="D159" s="39" t="inlineStr">
        <is>
          <t>agreed salary × proportion of full pay</t>
        </is>
      </c>
      <c r="E159" s="35" t="n"/>
      <c r="F159" s="35" t="n"/>
      <c r="G159" s="36" t="n"/>
    </row>
    <row r="160" ht="15" customHeight="1">
      <c r="B160" s="40" t="inlineStr">
        <is>
          <t>6</t>
        </is>
      </c>
      <c r="C160" s="41" t="inlineStr">
        <is>
          <t>Basic</t>
        </is>
      </c>
      <c r="D160" s="41" t="inlineStr">
        <is>
          <t>Basic percentage × salary earned</t>
        </is>
      </c>
      <c r="E160" s="35" t="n"/>
      <c r="F160" s="35" t="n"/>
      <c r="G160" s="36" t="n"/>
    </row>
    <row r="161" ht="15" customHeight="1">
      <c r="B161" s="38" t="inlineStr">
        <is>
          <t>7</t>
        </is>
      </c>
      <c r="C161" s="39" t="inlineStr">
        <is>
          <t>House rent allowance</t>
        </is>
      </c>
      <c r="D161" s="39" t="inlineStr">
        <is>
          <t>HRA percentage × Basic</t>
        </is>
      </c>
      <c r="E161" s="35" t="n"/>
      <c r="F161" s="35" t="n"/>
      <c r="G161" s="36" t="n"/>
    </row>
    <row r="162" ht="15" customHeight="1">
      <c r="B162" s="40" t="inlineStr">
        <is>
          <t>8</t>
        </is>
      </c>
      <c r="C162" s="41" t="inlineStr">
        <is>
          <t>Other allowance</t>
        </is>
      </c>
      <c r="D162" s="41" t="inlineStr">
        <is>
          <t>salary earned − Basic − house rent allowance</t>
        </is>
      </c>
      <c r="E162" s="35" t="n"/>
      <c r="F162" s="35" t="n"/>
      <c r="G162" s="36" t="n"/>
    </row>
    <row r="163" ht="15" customHeight="1">
      <c r="B163" s="38" t="inlineStr">
        <is>
          <t>9</t>
        </is>
      </c>
      <c r="C163" s="39" t="inlineStr">
        <is>
          <t>Overtime</t>
        </is>
      </c>
      <c r="D163" s="39" t="inlineStr">
        <is>
          <t>hours × (agreed salary ÷ (days in month × hours per day)) × multiplier</t>
        </is>
      </c>
      <c r="E163" s="35" t="n"/>
      <c r="F163" s="35" t="n"/>
      <c r="G163" s="36" t="n"/>
    </row>
    <row r="164" ht="26" customHeight="1">
      <c r="B164" s="40" t="inlineStr">
        <is>
          <t>10</t>
        </is>
      </c>
      <c r="C164" s="41" t="inlineStr">
        <is>
          <t>Statutory bonus</t>
        </is>
      </c>
      <c r="D164" s="41" t="inlineStr">
        <is>
          <t>8.33% × the smaller of (full Basic) and (₹7,000 or the state minimum wage, whichever is higher). Nil if full Basic is above ₹21,000.</t>
        </is>
      </c>
      <c r="E164" s="35" t="n"/>
      <c r="F164" s="35" t="n"/>
      <c r="G164" s="36" t="n"/>
    </row>
    <row r="165" ht="15" customHeight="1">
      <c r="B165" s="38" t="inlineStr">
        <is>
          <t>11</t>
        </is>
      </c>
      <c r="C165" s="39" t="inlineStr">
        <is>
          <t>Total earned</t>
        </is>
      </c>
      <c r="D165" s="39" t="inlineStr">
        <is>
          <t>Basic + HRA + other allowance + incentive + overtime + bonus + additions</t>
        </is>
      </c>
      <c r="E165" s="35" t="n"/>
      <c r="F165" s="35" t="n"/>
      <c r="G165" s="36" t="n"/>
    </row>
    <row r="166" ht="15" customHeight="1">
      <c r="B166" s="40" t="inlineStr">
        <is>
          <t>12</t>
        </is>
      </c>
      <c r="C166" s="41" t="inlineStr">
        <is>
          <t>PF salary</t>
        </is>
      </c>
      <c r="D166" s="41" t="inlineStr">
        <is>
          <t>the smaller of (Basic + other allowance) and ₹15,000, reduced for days lost</t>
        </is>
      </c>
      <c r="E166" s="35" t="n"/>
      <c r="F166" s="35" t="n"/>
      <c r="G166" s="36" t="n"/>
    </row>
    <row r="167" ht="15" customHeight="1">
      <c r="B167" s="38" t="inlineStr">
        <is>
          <t>13</t>
        </is>
      </c>
      <c r="C167" s="39" t="inlineStr">
        <is>
          <t>Provident Fund</t>
        </is>
      </c>
      <c r="D167" s="39" t="inlineStr">
        <is>
          <t>12% × PF salary</t>
        </is>
      </c>
      <c r="E167" s="35" t="n"/>
      <c r="F167" s="35" t="n"/>
      <c r="G167" s="36" t="n"/>
    </row>
    <row r="168" ht="15" customHeight="1">
      <c r="B168" s="40" t="inlineStr">
        <is>
          <t>14</t>
        </is>
      </c>
      <c r="C168" s="41" t="inlineStr">
        <is>
          <t>Qualifies for ESI</t>
        </is>
      </c>
      <c r="D168" s="41" t="inlineStr">
        <is>
          <t>full-month earnings are ₹21,000 or less</t>
        </is>
      </c>
      <c r="E168" s="35" t="n"/>
      <c r="F168" s="35" t="n"/>
      <c r="G168" s="36" t="n"/>
    </row>
    <row r="169" ht="15" customHeight="1">
      <c r="B169" s="38" t="inlineStr">
        <is>
          <t>15</t>
        </is>
      </c>
      <c r="C169" s="39" t="inlineStr">
        <is>
          <t>State Insurance</t>
        </is>
      </c>
      <c r="D169" s="39" t="inlineStr">
        <is>
          <t>0.75% × actual earnings, rounded UP</t>
        </is>
      </c>
      <c r="E169" s="35" t="n"/>
      <c r="F169" s="35" t="n"/>
      <c r="G169" s="36" t="n"/>
    </row>
    <row r="170" ht="15" customHeight="1">
      <c r="B170" s="40" t="inlineStr">
        <is>
          <t>16</t>
        </is>
      </c>
      <c r="C170" s="41" t="inlineStr">
        <is>
          <t>Labour Welfare Fund</t>
        </is>
      </c>
      <c r="D170" s="41" t="inlineStr">
        <is>
          <t>the smaller of (0.20% × pay) and ₹35</t>
        </is>
      </c>
      <c r="E170" s="35" t="n"/>
      <c r="F170" s="35" t="n"/>
      <c r="G170" s="36" t="n"/>
    </row>
    <row r="171" ht="15" customHeight="1">
      <c r="B171" s="38" t="inlineStr">
        <is>
          <t>17</t>
        </is>
      </c>
      <c r="C171" s="39" t="inlineStr">
        <is>
          <t>Professional Tax</t>
        </is>
      </c>
      <c r="D171" s="39" t="inlineStr">
        <is>
          <t>a fixed amount for the band the total earnings fall into</t>
        </is>
      </c>
      <c r="E171" s="35" t="n"/>
      <c r="F171" s="35" t="n"/>
      <c r="G171" s="36" t="n"/>
    </row>
    <row r="172" ht="15" customHeight="1">
      <c r="B172" s="40" t="inlineStr">
        <is>
          <t>18</t>
        </is>
      </c>
      <c r="C172" s="41" t="inlineStr">
        <is>
          <t>Total taken off</t>
        </is>
      </c>
      <c r="D172" s="41" t="inlineStr">
        <is>
          <t>PF + ESI + welfare fund + professional tax + income tax + deductions</t>
        </is>
      </c>
      <c r="E172" s="35" t="n"/>
      <c r="F172" s="35" t="n"/>
      <c r="G172" s="36" t="n"/>
    </row>
    <row r="173" ht="15" customHeight="1">
      <c r="B173" s="38" t="inlineStr">
        <is>
          <t>19</t>
        </is>
      </c>
      <c r="C173" s="39" t="inlineStr">
        <is>
          <t>Take-home pay</t>
        </is>
      </c>
      <c r="D173" s="39" t="inlineStr">
        <is>
          <t>total earned − total taken off</t>
        </is>
      </c>
      <c r="E173" s="35" t="n"/>
      <c r="F173" s="35" t="n"/>
      <c r="G173" s="36" t="n"/>
    </row>
    <row r="174" ht="15" customHeight="1">
      <c r="B174" s="40" t="inlineStr">
        <is>
          <t>20</t>
        </is>
      </c>
      <c r="C174" s="41" t="inlineStr">
        <is>
          <t>Cost to company</t>
        </is>
      </c>
      <c r="D174" s="41" t="inlineStr">
        <is>
          <t>total earned + company's PF + company's ESI + company's welfare + gratuity</t>
        </is>
      </c>
      <c r="E174" s="35" t="n"/>
      <c r="F174" s="35" t="n"/>
      <c r="G174" s="36" t="n"/>
    </row>
    <row r="176" ht="24" customHeight="1">
      <c r="A176" s="3" t="n"/>
      <c r="B176" s="4" t="inlineStr">
        <is>
          <t>ASSUMPTIONS  ·  things this calculation takes as given</t>
        </is>
      </c>
      <c r="C176" s="3" t="n"/>
      <c r="D176" s="3" t="n"/>
      <c r="E176" s="3" t="n"/>
      <c r="F176" s="3" t="n"/>
      <c r="G176" s="3" t="n"/>
    </row>
    <row r="178">
      <c r="B178" s="25" t="inlineStr">
        <is>
          <t>#</t>
        </is>
      </c>
      <c r="C178" s="25" t="inlineStr">
        <is>
          <t>Assumption</t>
        </is>
      </c>
      <c r="D178" s="25" t="inlineStr">
        <is>
          <t>Why it matters to you</t>
        </is>
      </c>
      <c r="E178" s="35" t="n"/>
      <c r="F178" s="35" t="n"/>
      <c r="G178" s="36" t="n"/>
    </row>
    <row r="179" ht="15" customHeight="1">
      <c r="B179" s="38" t="inlineStr">
        <is>
          <t>1</t>
        </is>
      </c>
      <c r="C179" s="39" t="inlineStr">
        <is>
          <t>The salary figure is per MONTH, not per year.</t>
        </is>
      </c>
      <c r="D179" s="39" t="inlineStr">
        <is>
          <t>Nothing is ever divided by 12. If someone quotes an annual package, divide it first.</t>
        </is>
      </c>
      <c r="E179" s="35" t="n"/>
      <c r="F179" s="35" t="n"/>
      <c r="G179" s="36" t="n"/>
    </row>
    <row r="180" ht="15" customHeight="1">
      <c r="B180" s="40" t="inlineStr">
        <is>
          <t>2</t>
        </is>
      </c>
      <c r="C180" s="41" t="inlineStr">
        <is>
          <t>A rest day can never cost pay.</t>
        </is>
      </c>
      <c r="D180" s="41" t="inlineStr">
        <is>
          <t>Marking somebody absent on their day off has no effect. It is not a way to dock pay.</t>
        </is>
      </c>
      <c r="E180" s="35" t="n"/>
      <c r="F180" s="35" t="n"/>
      <c r="G180" s="36" t="n"/>
    </row>
    <row r="181" ht="15" customHeight="1">
      <c r="B181" s="38" t="inlineStr">
        <is>
          <t>3</t>
        </is>
      </c>
      <c r="C181" s="39" t="inlineStr">
        <is>
          <t>Paid public holidays count as days meant to work.</t>
        </is>
      </c>
      <c r="D181" s="39" t="inlineStr">
        <is>
          <t>They slightly reduce the value of every other day rather than being free extra money.</t>
        </is>
      </c>
      <c r="E181" s="35" t="n"/>
      <c r="F181" s="35" t="n"/>
      <c r="G181" s="36" t="n"/>
    </row>
    <row r="182" ht="15" customHeight="1">
      <c r="B182" s="40" t="inlineStr">
        <is>
          <t>4</t>
        </is>
      </c>
      <c r="C182" s="41" t="inlineStr">
        <is>
          <t>Days before joining or after leaving still count in the division.</t>
        </is>
      </c>
      <c r="D182" s="41" t="inlineStr">
        <is>
          <t>A mid-month joiner is not paid for the earlier days, but those days still make each remaining day worth less.</t>
        </is>
      </c>
      <c r="E182" s="35" t="n"/>
      <c r="F182" s="35" t="n"/>
      <c r="G182" s="36" t="n"/>
    </row>
    <row r="183" ht="15" customHeight="1">
      <c r="B183" s="38" t="inlineStr">
        <is>
          <t>5</t>
        </is>
      </c>
      <c r="C183" s="39" t="inlineStr">
        <is>
          <t>Unpaid leave always costs a full day.</t>
        </is>
      </c>
      <c r="D183" s="39" t="inlineStr">
        <is>
          <t>There is no half day of unpaid leave. Any approved leave governs the whole day.</t>
        </is>
      </c>
      <c r="E183" s="35" t="n"/>
      <c r="F183" s="35" t="n"/>
      <c r="G183" s="36" t="n"/>
    </row>
    <row r="184" ht="15" customHeight="1">
      <c r="B184" s="40" t="inlineStr">
        <is>
          <t>6</t>
        </is>
      </c>
      <c r="C184" s="41" t="inlineStr">
        <is>
          <t>PF and ESI eligibility is judged on the FULL month.</t>
        </is>
      </c>
      <c r="D184" s="41" t="inlineStr">
        <is>
          <t>Deliberate. Heavy absence cannot remove somebody from their pension or medical insurance.</t>
        </is>
      </c>
      <c r="E184" s="35" t="n"/>
      <c r="F184" s="35" t="n"/>
      <c r="G184" s="36" t="n"/>
    </row>
    <row r="185" ht="15" customHeight="1">
      <c r="B185" s="38" t="inlineStr">
        <is>
          <t>7</t>
        </is>
      </c>
      <c r="C185" s="39" t="inlineStr">
        <is>
          <t>Professional tax looks at what was ACTUALLY earned.</t>
        </is>
      </c>
      <c r="D185" s="39" t="inlineStr">
        <is>
          <t>So unlike PF and ESI, a bad month can move somebody into a cheaper band.</t>
        </is>
      </c>
      <c r="E185" s="35" t="n"/>
      <c r="F185" s="35" t="n"/>
      <c r="G185" s="36" t="n"/>
    </row>
    <row r="186" ht="15" customHeight="1">
      <c r="B186" s="40" t="inlineStr">
        <is>
          <t>8</t>
        </is>
      </c>
      <c r="C186" s="41" t="inlineStr">
        <is>
          <t>Income tax is typed in by hand.</t>
        </is>
      </c>
      <c r="D186" s="41" t="inlineStr">
        <is>
          <t>The system calculates no tax. If nobody enters a figure, no tax is deducted — silently.</t>
        </is>
      </c>
      <c r="E186" s="35" t="n"/>
      <c r="F186" s="35" t="n"/>
      <c r="G186" s="36" t="n"/>
    </row>
    <row r="187" ht="15" customHeight="1">
      <c r="B187" s="38" t="inlineStr">
        <is>
          <t>9</t>
        </is>
      </c>
      <c r="C187" s="39" t="inlineStr">
        <is>
          <t>Performance incentive does not shrink with lost days.</t>
        </is>
      </c>
      <c r="D187" s="39" t="inlineStr">
        <is>
          <t>It is paid whole or not at all.</t>
        </is>
      </c>
      <c r="E187" s="35" t="n"/>
      <c r="F187" s="35" t="n"/>
      <c r="G187" s="36" t="n"/>
    </row>
    <row r="188" ht="15" customHeight="1">
      <c r="B188" s="40" t="inlineStr">
        <is>
          <t>10</t>
        </is>
      </c>
      <c r="C188" s="41" t="inlineStr">
        <is>
          <t>The company's contributions never reduce take-home pay.</t>
        </is>
      </c>
      <c r="D188" s="41" t="inlineStr">
        <is>
          <t>They are a business cost and appear only in the cost-to-company figure.</t>
        </is>
      </c>
      <c r="E188" s="35" t="n"/>
      <c r="F188" s="35" t="n"/>
      <c r="G188" s="36" t="n"/>
    </row>
    <row r="189" ht="15" customHeight="1">
      <c r="B189" s="38" t="inlineStr">
        <is>
          <t>11</t>
        </is>
      </c>
      <c r="C189" s="39" t="inlineStr">
        <is>
          <t>Government deductions are OFF until switched on.</t>
        </is>
      </c>
      <c r="D189" s="39" t="inlineStr">
        <is>
          <t>A new system deducts nothing. Somebody must switch each one on and enter the rates.</t>
        </is>
      </c>
      <c r="E189" s="35" t="n"/>
      <c r="F189" s="35" t="n"/>
      <c r="G189" s="36" t="n"/>
    </row>
    <row r="190" ht="15" customHeight="1">
      <c r="B190" s="40" t="inlineStr">
        <is>
          <t>12</t>
        </is>
      </c>
      <c r="C190" s="41" t="inlineStr">
        <is>
          <t>Which state's rules apply is decided by the workplace NAME.</t>
        </is>
      </c>
      <c r="D190" s="41" t="inlineStr">
        <is>
          <t>Matched as text. If the name does not exactly match a recorded property, the system assumes Haryana.</t>
        </is>
      </c>
      <c r="E190" s="35" t="n"/>
      <c r="F190" s="35" t="n"/>
      <c r="G190" s="36" t="n"/>
    </row>
    <row r="191" ht="15" customHeight="1">
      <c r="B191" s="38" t="inlineStr">
        <is>
          <t>13</t>
        </is>
      </c>
      <c r="C191" s="39" t="inlineStr">
        <is>
          <t>There is only one salary on record per person.</t>
        </is>
      </c>
      <c r="D191" s="39" t="inlineStr">
        <is>
          <t>No history. A raise re-prices every month that has not been locked.</t>
        </is>
      </c>
      <c r="E191" s="35" t="n"/>
      <c r="F191" s="35" t="n"/>
      <c r="G191" s="36" t="n"/>
    </row>
    <row r="192" ht="15" customHeight="1">
      <c r="B192" s="40" t="inlineStr">
        <is>
          <t>14</t>
        </is>
      </c>
      <c r="C192" s="41" t="inlineStr">
        <is>
          <t>Every component is rounded to the rupee, except two.</t>
        </is>
      </c>
      <c r="D192" s="41" t="inlineStr">
        <is>
          <t>State Insurance always rounds UP. The welfare fund can keep paise in some states.</t>
        </is>
      </c>
      <c r="E192" s="35" t="n"/>
      <c r="F192" s="35" t="n"/>
      <c r="G192" s="36" t="n"/>
    </row>
    <row r="193" ht="15" customHeight="1">
      <c r="B193" s="38" t="inlineStr">
        <is>
          <t>15</t>
        </is>
      </c>
      <c r="C193" s="39" t="inlineStr">
        <is>
          <t>This sheet covers ONE person for ONE month.</t>
        </is>
      </c>
      <c r="D193" s="39" t="inlineStr">
        <is>
          <t>A payroll run repeats exactly this for everybody.</t>
        </is>
      </c>
      <c r="E193" s="35" t="n"/>
      <c r="F193" s="35" t="n"/>
      <c r="G193" s="36" t="n"/>
    </row>
    <row r="195" ht="24" customHeight="1">
      <c r="A195" s="3" t="n"/>
      <c r="B195" s="4" t="inlineStr">
        <is>
          <t>WHAT YOUR SYSTEM IS SET TO RIGHT NOW  ·  checked 28 July 2026</t>
        </is>
      </c>
      <c r="C195" s="3" t="n"/>
      <c r="D195" s="3" t="n"/>
      <c r="E195" s="3" t="n"/>
      <c r="F195" s="3" t="n"/>
      <c r="G195" s="3" t="n"/>
    </row>
    <row r="197">
      <c r="B197" s="25" t="inlineStr">
        <is>
          <t>Setting</t>
        </is>
      </c>
      <c r="C197" s="25" t="inlineStr">
        <is>
          <t>Current value</t>
        </is>
      </c>
      <c r="D197" s="25" t="inlineStr">
        <is>
          <t>What that means in practice</t>
        </is>
      </c>
      <c r="E197" s="35" t="n"/>
      <c r="F197" s="35" t="n"/>
      <c r="G197" s="36" t="n"/>
    </row>
    <row r="198" ht="26" customHeight="1">
      <c r="B198" s="38" t="inlineStr">
        <is>
          <t>Provident Fund, State Insurance, Professional Tax, Labour Welfare Fund</t>
        </is>
      </c>
      <c r="C198" s="39" t="inlineStr">
        <is>
          <t>ALL SWITCHED OFF</t>
        </is>
      </c>
      <c r="D198" s="39" t="inlineStr">
        <is>
          <t>Nothing is deducted from anybody. Take-home equals total earned. These must be switched on and given rates before the first real payroll.</t>
        </is>
      </c>
      <c r="E198" s="35" t="n"/>
      <c r="F198" s="35" t="n"/>
      <c r="G198" s="36" t="n"/>
    </row>
    <row r="199" ht="15" customHeight="1">
      <c r="B199" s="40" t="inlineStr">
        <is>
          <t>Minimum wage records</t>
        </is>
      </c>
      <c r="C199" s="41" t="inlineStr">
        <is>
          <t>None recorded</t>
        </is>
      </c>
      <c r="D199" s="41" t="inlineStr">
        <is>
          <t>The minimum-wage safety check never triggers, so an underpaid salary would not be flagged.</t>
        </is>
      </c>
      <c r="E199" s="35" t="n"/>
      <c r="F199" s="35" t="n"/>
      <c r="G199" s="36" t="n"/>
    </row>
    <row r="200" ht="15" customHeight="1">
      <c r="B200" s="38" t="inlineStr">
        <is>
          <t>How the month is divided</t>
        </is>
      </c>
      <c r="C200" s="39" t="inlineStr">
        <is>
          <t>Fixed, 30 days</t>
        </is>
      </c>
      <c r="D200" s="39" t="inlineStr">
        <is>
          <t>So the 27.69 example above is your real behaviour, not a hypothetical one.</t>
        </is>
      </c>
      <c r="E200" s="35" t="n"/>
      <c r="F200" s="35" t="n"/>
      <c r="G200" s="36" t="n"/>
    </row>
    <row r="201" ht="15" customHeight="1">
      <c r="B201" s="40" t="inlineStr">
        <is>
          <t>Company work week</t>
        </is>
      </c>
      <c r="C201" s="41" t="inlineStr">
        <is>
          <t>Monday to Friday</t>
        </is>
      </c>
      <c r="D201" s="41" t="inlineStr">
        <is>
          <t>Used when neither the shift nor the leave policy names the off days.</t>
        </is>
      </c>
      <c r="E201" s="35" t="n"/>
      <c r="F201" s="35" t="n"/>
      <c r="G201" s="36" t="n"/>
    </row>
    <row r="202" ht="26" customHeight="1">
      <c r="B202" s="38" t="inlineStr">
        <is>
          <t>Unmarked days</t>
        </is>
      </c>
      <c r="C202" s="39" t="inlineStr">
        <is>
          <t>Treated as present</t>
        </is>
      </c>
      <c r="D202" s="39" t="inlineStr">
        <is>
          <t>A day with no attendance record costs nothing. Missing attendance data will silently overpay rather than underpay.</t>
        </is>
      </c>
      <c r="E202" s="35" t="n"/>
      <c r="F202" s="35" t="n"/>
      <c r="G202" s="36" t="n"/>
    </row>
    <row r="203" ht="15" customHeight="1">
      <c r="B203" s="40" t="inlineStr">
        <is>
          <t>Overtime</t>
        </is>
      </c>
      <c r="C203" s="41" t="inlineStr">
        <is>
          <t>Double pay, 8-hour day</t>
        </is>
      </c>
      <c r="D203" s="41" t="inlineStr"/>
      <c r="E203" s="35" t="n"/>
      <c r="F203" s="35" t="n"/>
      <c r="G203" s="36" t="n"/>
    </row>
    <row r="204" ht="15" customHeight="1">
      <c r="B204" s="38" t="inlineStr">
        <is>
          <t>Salary structure</t>
        </is>
      </c>
      <c r="C204" s="39" t="inlineStr">
        <is>
          <t>Basic 50%, HRA 50% of Basic, remainder as Other Allowance</t>
        </is>
      </c>
      <c r="D204" s="39" t="inlineStr">
        <is>
          <t>The same shape for all five job grades.</t>
        </is>
      </c>
      <c r="E204" s="35" t="n"/>
      <c r="F204" s="35" t="n"/>
      <c r="G204" s="36" t="n"/>
    </row>
    <row r="205" ht="15" customHeight="1">
      <c r="B205" s="40" t="inlineStr">
        <is>
          <t>Agreed salaries in use</t>
        </is>
      </c>
      <c r="C205" s="41" t="inlineStr">
        <is>
          <t>₹19,500 to ₹25,500</t>
        </is>
      </c>
      <c r="D205" s="41" t="inlineStr">
        <is>
          <t>Housekeeping Attendant through to Front Desk Executive.</t>
        </is>
      </c>
      <c r="E205" s="35" t="n"/>
      <c r="F205" s="35" t="n"/>
      <c r="G205" s="36" t="n"/>
    </row>
    <row r="206" ht="15" customHeight="1">
      <c r="B206" s="5" t="inlineStr"/>
    </row>
    <row r="207" ht="28" customHeight="1">
      <c r="B207" s="42" t="inlineStr">
        <is>
          <t>CHECK THE SHEET ITSELF IS WORKING.  Agreed salary ₹30,000, days meant to work 26, days lost 0, method actual_days. Switch ON Provident Fund, State Insurance, Labour Welfare Fund and statutory bonus, but leave Professional Tax OFF — your system has no professional tax configured, so that matches reality.</t>
        </is>
      </c>
      <c r="C207" s="43" t="n"/>
      <c r="D207" s="43" t="n"/>
      <c r="E207" s="43" t="n"/>
      <c r="F207" s="43" t="n"/>
      <c r="G207" s="43" t="n"/>
    </row>
    <row r="208" ht="28" customHeight="1">
      <c r="B208" s="42" t="inlineStr">
        <is>
          <t>You should see:  total earned ₹30,583  ·  taken off ₹1,835  ·  take-home ₹28,748.  Within that: Basic ₹15,000, HRA ₹7,500, other allowance ₹7,500, bonus ₹583; provident fund ₹1,800, state insurance ₹0 (salary is above the ₹21,000 limit), welfare fund ₹35.</t>
        </is>
      </c>
      <c r="C208" s="43" t="n"/>
      <c r="D208" s="43" t="n"/>
      <c r="E208" s="43" t="n"/>
      <c r="F208" s="43" t="n"/>
      <c r="G208" s="43" t="n"/>
    </row>
    <row r="209" ht="15" customHeight="1">
      <c r="B209" s="10" t="inlineStr">
        <is>
          <t>Switching Professional Tax on as well applies the EXAMPLE band of ₹200 and take-home becomes ₹28,548.</t>
        </is>
      </c>
    </row>
  </sheetData>
  <mergeCells count="151">
    <mergeCell ref="D202:G202"/>
    <mergeCell ref="D18:G18"/>
    <mergeCell ref="D146:G146"/>
    <mergeCell ref="D121:G121"/>
    <mergeCell ref="D192:G192"/>
    <mergeCell ref="D74:G74"/>
    <mergeCell ref="D130:G130"/>
    <mergeCell ref="B8:G8"/>
    <mergeCell ref="D201:G201"/>
    <mergeCell ref="D117:G117"/>
    <mergeCell ref="D173:G173"/>
    <mergeCell ref="D188:G188"/>
    <mergeCell ref="D123:G123"/>
    <mergeCell ref="D132:G132"/>
    <mergeCell ref="D59:G59"/>
    <mergeCell ref="D20:G20"/>
    <mergeCell ref="D60:G60"/>
    <mergeCell ref="D187:G187"/>
    <mergeCell ref="D174:G174"/>
    <mergeCell ref="B68:G68"/>
    <mergeCell ref="B139:G139"/>
    <mergeCell ref="D84:G84"/>
    <mergeCell ref="D22:G22"/>
    <mergeCell ref="D155:G155"/>
    <mergeCell ref="D149:G149"/>
    <mergeCell ref="D31:G31"/>
    <mergeCell ref="D45:G45"/>
    <mergeCell ref="D158:G158"/>
    <mergeCell ref="B207:G207"/>
    <mergeCell ref="D77:G77"/>
    <mergeCell ref="D21:G21"/>
    <mergeCell ref="D160:G160"/>
    <mergeCell ref="B47:G47"/>
    <mergeCell ref="D136:G136"/>
    <mergeCell ref="D70:G70"/>
    <mergeCell ref="D141:G141"/>
    <mergeCell ref="D150:G150"/>
    <mergeCell ref="D72:G72"/>
    <mergeCell ref="D78:G78"/>
    <mergeCell ref="B12:G12"/>
    <mergeCell ref="D205:G205"/>
    <mergeCell ref="D62:G62"/>
    <mergeCell ref="D122:G122"/>
    <mergeCell ref="D71:G71"/>
    <mergeCell ref="D184:G184"/>
    <mergeCell ref="D193:G193"/>
    <mergeCell ref="D58:G58"/>
    <mergeCell ref="B1:G1"/>
    <mergeCell ref="D24:G24"/>
    <mergeCell ref="D64:G64"/>
    <mergeCell ref="B13:G13"/>
    <mergeCell ref="D73:G73"/>
    <mergeCell ref="D51:G51"/>
    <mergeCell ref="D164:G164"/>
    <mergeCell ref="C111:F111"/>
    <mergeCell ref="D88:G88"/>
    <mergeCell ref="D26:G26"/>
    <mergeCell ref="D148:G148"/>
    <mergeCell ref="D35:G35"/>
    <mergeCell ref="D44:G44"/>
    <mergeCell ref="D115:G115"/>
    <mergeCell ref="D138:G138"/>
    <mergeCell ref="D178:G178"/>
    <mergeCell ref="D19:G19"/>
    <mergeCell ref="D90:G90"/>
    <mergeCell ref="D172:G172"/>
    <mergeCell ref="D203:G203"/>
    <mergeCell ref="B33:G33"/>
    <mergeCell ref="D131:G131"/>
    <mergeCell ref="D36:G36"/>
    <mergeCell ref="B206:G206"/>
    <mergeCell ref="D124:G124"/>
    <mergeCell ref="D189:G189"/>
    <mergeCell ref="D204:G204"/>
    <mergeCell ref="D198:G198"/>
    <mergeCell ref="B209:G209"/>
    <mergeCell ref="D179:G179"/>
    <mergeCell ref="D61:G61"/>
    <mergeCell ref="D75:G75"/>
    <mergeCell ref="D197:G197"/>
    <mergeCell ref="D135:G135"/>
    <mergeCell ref="D166:G166"/>
    <mergeCell ref="B140:G140"/>
    <mergeCell ref="D181:G181"/>
    <mergeCell ref="D125:G125"/>
    <mergeCell ref="D37:G37"/>
    <mergeCell ref="D168:G168"/>
    <mergeCell ref="D165:G165"/>
    <mergeCell ref="D180:G180"/>
    <mergeCell ref="D118:G118"/>
    <mergeCell ref="D39:G39"/>
    <mergeCell ref="D167:G167"/>
    <mergeCell ref="D161:G161"/>
    <mergeCell ref="D29:G29"/>
    <mergeCell ref="D142:G142"/>
    <mergeCell ref="D38:G38"/>
    <mergeCell ref="D89:G89"/>
    <mergeCell ref="D169:G169"/>
    <mergeCell ref="D79:G79"/>
    <mergeCell ref="D144:G144"/>
    <mergeCell ref="D63:G63"/>
    <mergeCell ref="D186:G186"/>
    <mergeCell ref="D52:G52"/>
    <mergeCell ref="B97:G97"/>
    <mergeCell ref="D27:G27"/>
    <mergeCell ref="D120:G120"/>
    <mergeCell ref="B7:G7"/>
    <mergeCell ref="D76:G76"/>
    <mergeCell ref="B129:G129"/>
    <mergeCell ref="B134:G134"/>
    <mergeCell ref="D163:G163"/>
    <mergeCell ref="D116:G116"/>
    <mergeCell ref="B208:G208"/>
    <mergeCell ref="D91:G91"/>
    <mergeCell ref="D171:G171"/>
    <mergeCell ref="B43:G43"/>
    <mergeCell ref="D28:G28"/>
    <mergeCell ref="B2:G2"/>
    <mergeCell ref="D25:G25"/>
    <mergeCell ref="B17:G17"/>
    <mergeCell ref="D143:G143"/>
    <mergeCell ref="D92:G92"/>
    <mergeCell ref="D157:G157"/>
    <mergeCell ref="D30:G30"/>
    <mergeCell ref="D133:G133"/>
    <mergeCell ref="D23:G23"/>
    <mergeCell ref="B34:G34"/>
    <mergeCell ref="D69:G69"/>
    <mergeCell ref="D182:G182"/>
    <mergeCell ref="D191:G191"/>
    <mergeCell ref="D119:G119"/>
    <mergeCell ref="D190:G190"/>
    <mergeCell ref="D46:G46"/>
    <mergeCell ref="B6:G6"/>
    <mergeCell ref="D159:G159"/>
    <mergeCell ref="D199:G199"/>
    <mergeCell ref="D80:G80"/>
    <mergeCell ref="D183:G183"/>
    <mergeCell ref="D57:G57"/>
    <mergeCell ref="D170:G170"/>
    <mergeCell ref="D32:G32"/>
    <mergeCell ref="D145:G145"/>
    <mergeCell ref="D185:G185"/>
    <mergeCell ref="D154:G154"/>
    <mergeCell ref="D200:G200"/>
    <mergeCell ref="D147:G147"/>
    <mergeCell ref="D162:G162"/>
    <mergeCell ref="B56:G56"/>
    <mergeCell ref="B96:G96"/>
    <mergeCell ref="D156:G156"/>
    <mergeCell ref="D137:G137"/>
  </mergeCells>
  <conditionalFormatting sqref="F99:F110">
    <cfRule type="expression" priority="1" dxfId="0">
      <formula>$F$99="DIFFERS"</formula>
    </cfRule>
    <cfRule type="expression" priority="2" dxfId="1">
      <formula>$F$99="MATCH"</formula>
    </cfRule>
  </conditionalFormatting>
  <conditionalFormatting sqref="E99:E110">
    <cfRule type="expression" priority="3" dxfId="2">
      <formula>AND($E$99&lt;&gt;"",ABS($E$99)&gt;1)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2026-07-28T10:56:44Z</dcterms:created>
  <dcterms:modified xmlns:dcterms="http://purl.org/dc/terms/" xmlns:xsi="http://www.w3.org/2001/XMLSchema-instance" xsi:type="dcterms:W3CDTF">2026-07-28T10:56:44Z</dcterms:modified>
</cp:coreProperties>
</file>