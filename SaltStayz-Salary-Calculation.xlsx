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alculator" sheetId="1" state="visible" r:id="rId1"/>
    <sheet xmlns:r="http://schemas.openxmlformats.org/officeDocument/2006/relationships" name="2. Payable Days" sheetId="2" state="visible" r:id="rId2"/>
    <sheet xmlns:r="http://schemas.openxmlformats.org/officeDocument/2006/relationships" name="3. Earnings" sheetId="3" state="visible" r:id="rId3"/>
    <sheet xmlns:r="http://schemas.openxmlformats.org/officeDocument/2006/relationships" name="4. Statutory" sheetId="4" state="visible" r:id="rId4"/>
    <sheet xmlns:r="http://schemas.openxmlformats.org/officeDocument/2006/relationships" name="5. All Equations" sheetId="5" state="visible" r:id="rId5"/>
    <sheet xmlns:r="http://schemas.openxmlformats.org/officeDocument/2006/relationships" name="6. Assumptions" sheetId="6" state="visible" r:id="rId6"/>
    <sheet xmlns:r="http://schemas.openxmlformats.org/officeDocument/2006/relationships" name="7. Current Confi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₹&quot;#,##0"/>
    <numFmt numFmtId="165" formatCode="0.0000"/>
    <numFmt numFmtId="166" formatCode="&quot;₹&quot;#,##0.00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00FF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006100"/>
      <sz val="13"/>
    </font>
    <font>
      <name val="Consolas"/>
      <color rgb="001F4E79"/>
      <sz val="9"/>
    </font>
    <font>
      <name val="Arial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5" fillId="3" borderId="1" pivotButton="0" quotePrefix="0" xfId="0"/>
    <xf numFmtId="0" fontId="2" fillId="0" borderId="0" applyAlignment="1" pivotButton="0" quotePrefix="0" xfId="0">
      <alignment vertical="top" wrapText="1"/>
    </xf>
    <xf numFmtId="0" fontId="5" fillId="3" borderId="1" pivotButton="0" quotePrefix="0" xfId="0"/>
    <xf numFmtId="2" fontId="5" fillId="3" borderId="1" pivotButton="0" quotePrefix="0" xfId="0"/>
    <xf numFmtId="2" fontId="4" fillId="4" borderId="1" pivotButton="0" quotePrefix="0" xfId="0"/>
    <xf numFmtId="165" fontId="4" fillId="4" borderId="1" pivotButton="0" quotePrefix="0" xfId="0"/>
    <xf numFmtId="164" fontId="4" fillId="4" borderId="1" pivotButton="0" quotePrefix="0" xfId="0"/>
    <xf numFmtId="0" fontId="6" fillId="0" borderId="0" pivotButton="0" quotePrefix="0" xfId="0"/>
    <xf numFmtId="164" fontId="7" fillId="5" borderId="1" pivotButton="0" quotePrefix="0" xfId="0"/>
    <xf numFmtId="166" fontId="4" fillId="4" borderId="1" pivotButton="0" quotePrefix="0" xfId="0"/>
    <xf numFmtId="0" fontId="4" fillId="4" borderId="1" pivotButton="0" quotePrefix="0" xfId="0"/>
    <xf numFmtId="166" fontId="8" fillId="5" borderId="1" pivotButton="0" quotePrefix="0" xfId="0"/>
    <xf numFmtId="0" fontId="2" fillId="6" borderId="0" pivotButton="0" quotePrefix="0" xfId="0"/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0" fontId="4" fillId="6" borderId="0" pivotButton="0" quotePrefix="0" xfId="0"/>
    <xf numFmtId="0" fontId="4" fillId="6" borderId="1" pivotButton="0" quotePrefix="0" xfId="0"/>
    <xf numFmtId="0" fontId="2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0" borderId="0" pivotButton="0" quotePrefix="0" xfId="0"/>
    <xf numFmtId="0" fontId="6" fillId="0" borderId="1" pivotButton="0" quotePrefix="0" xfId="0"/>
    <xf numFmtId="0" fontId="4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4" borderId="0" pivotButton="0" quotePrefix="0" xfId="0"/>
    <xf numFmtId="0" fontId="10" fillId="6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62" customWidth="1" min="3" max="3"/>
  </cols>
  <sheetData>
    <row r="1">
      <c r="A1" s="1" t="inlineStr">
        <is>
          <t>Monthly salary calculator — SaltStayz HRMS</t>
        </is>
      </c>
    </row>
    <row r="2">
      <c r="A2" s="2" t="inlineStr">
        <is>
          <t>Edit only the yellow cells. Everything else recalculates. Grey = computed by the same formula the payroll engine uses.</t>
        </is>
      </c>
    </row>
    <row r="4">
      <c r="A4" s="3" t="inlineStr">
        <is>
          <t>INPUTS</t>
        </is>
      </c>
      <c r="B4" s="4" t="n"/>
      <c r="C4" s="4" t="n"/>
      <c r="D4" s="4" t="n"/>
      <c r="E4" s="4" t="n"/>
      <c r="F4" s="4" t="n"/>
    </row>
    <row r="5">
      <c r="A5" s="5" t="inlineStr">
        <is>
          <t>Base salary (monthly)</t>
        </is>
      </c>
      <c r="B5" s="6" t="n">
        <v>30000</v>
      </c>
      <c r="C5" s="7" t="inlineStr">
        <is>
          <t>salary_structure_assignments.base. MONTHLY, not annual.</t>
        </is>
      </c>
    </row>
    <row r="6">
      <c r="A6" s="5" t="inlineStr">
        <is>
          <t>Basic — % of base</t>
        </is>
      </c>
      <c r="B6" s="8" t="n">
        <v>50</v>
      </c>
      <c r="C6" s="7" t="inlineStr">
        <is>
          <t>Your live structures use 50.</t>
        </is>
      </c>
    </row>
    <row r="7">
      <c r="A7" s="5" t="inlineStr">
        <is>
          <t>HRA — % of Basic</t>
        </is>
      </c>
      <c r="B7" s="8" t="n">
        <v>50</v>
      </c>
      <c r="C7" s="7" t="inlineStr">
        <is>
          <t>Your live structures use 50.</t>
        </is>
      </c>
    </row>
    <row r="8">
      <c r="A8" s="5" t="inlineStr">
        <is>
          <t>PLI (flat, variable)</t>
        </is>
      </c>
      <c r="B8" s="6" t="n">
        <v>0</v>
      </c>
      <c r="C8" s="7" t="inlineStr">
        <is>
          <t>Flat variable earning with proRata=false, so it does NOT shrink with lost days.</t>
        </is>
      </c>
    </row>
    <row r="9">
      <c r="A9" s="5" t="inlineStr">
        <is>
          <t>Calculation method</t>
        </is>
      </c>
      <c r="B9" s="8" t="inlineStr">
        <is>
          <t>fixed_days</t>
        </is>
      </c>
      <c r="C9" s="7" t="inlineStr">
        <is>
          <t>fixed_days or actual_days. YOUR LIVE SETTING: fixed_days.</t>
        </is>
      </c>
    </row>
    <row r="10">
      <c r="A10" s="5" t="inlineStr">
        <is>
          <t>Fixed working days</t>
        </is>
      </c>
      <c r="B10" s="8" t="n">
        <v>30</v>
      </c>
      <c r="C10" s="7" t="inlineStr">
        <is>
          <t>Used only when method = fixed_days. YOUR LIVE SETTING: 30.</t>
        </is>
      </c>
    </row>
    <row r="11">
      <c r="A11" s="5" t="inlineStr">
        <is>
          <t>W — scheduled working days</t>
        </is>
      </c>
      <c r="B11" s="8" t="n">
        <v>26</v>
      </c>
      <c r="C11" s="7" t="inlineStr">
        <is>
          <t>Days classified as working, PLUS paid holidays. See sheet 2.</t>
        </is>
      </c>
    </row>
    <row r="12">
      <c r="A12" s="5" t="inlineStr">
        <is>
          <t>N — days not employed</t>
        </is>
      </c>
      <c r="B12" s="8" t="n">
        <v>0</v>
      </c>
      <c r="C12" s="7" t="inlineStr">
        <is>
          <t>Days inside W that fall outside joining/leaving. Stay in the divisor, never paid.</t>
        </is>
      </c>
    </row>
    <row r="13">
      <c r="A13" s="5" t="inlineStr">
        <is>
          <t>L — loss-of-pay days</t>
        </is>
      </c>
      <c r="B13" s="9" t="n">
        <v>0</v>
      </c>
      <c r="C13" s="7" t="inlineStr">
        <is>
          <t>Sum of per-day LOP fractions. See sheet 2.</t>
        </is>
      </c>
    </row>
    <row r="14">
      <c r="A14" s="5" t="inlineStr">
        <is>
          <t>Overtime hours</t>
        </is>
      </c>
      <c r="B14" s="9" t="n">
        <v>0</v>
      </c>
    </row>
    <row r="15">
      <c r="A15" s="5" t="inlineStr">
        <is>
          <t>Overtime multiplier</t>
        </is>
      </c>
      <c r="B15" s="8" t="n">
        <v>2</v>
      </c>
      <c r="C15" s="7" t="inlineStr">
        <is>
          <t>pay_schedule_settings.overtime_multiplier. YOUR LIVE SETTING: 2.</t>
        </is>
      </c>
    </row>
    <row r="16">
      <c r="A16" s="5" t="inlineStr">
        <is>
          <t>Standard day hours</t>
        </is>
      </c>
      <c r="B16" s="8" t="n">
        <v>8</v>
      </c>
      <c r="C16" s="7" t="inlineStr">
        <is>
          <t>YOUR LIVE SETTING: 8.</t>
        </is>
      </c>
    </row>
    <row r="17">
      <c r="A17" s="5" t="inlineStr">
        <is>
          <t>TDS</t>
        </is>
      </c>
      <c r="B17" s="6" t="n">
        <v>0</v>
      </c>
      <c r="C17" s="7" t="inlineStr">
        <is>
          <t>A flat figure Finance types on the assignment. NOT computed by the system.</t>
        </is>
      </c>
    </row>
    <row r="18">
      <c r="A18" s="5" t="inlineStr">
        <is>
          <t>Adjustment (+ or −)</t>
        </is>
      </c>
      <c r="B18" s="6" t="n">
        <v>0</v>
      </c>
      <c r="C18" s="7" t="inlineStr">
        <is>
          <t>payroll_adjustments. Positive = extra earning, negative = extra deduction.</t>
        </is>
      </c>
    </row>
    <row r="19">
      <c r="A19" s="5" t="inlineStr">
        <is>
          <t>State minimum wage</t>
        </is>
      </c>
      <c r="B19" s="6" t="n">
        <v>0</v>
      </c>
      <c r="C19" s="7" t="inlineStr">
        <is>
          <t>Only used as the statutory-bonus calculation ceiling. YOUR DB: none configured.</t>
        </is>
      </c>
    </row>
    <row r="21">
      <c r="A21" s="3" t="inlineStr">
        <is>
          <t>STATUTORY SWITCHES  (1 = on, 0 = off)</t>
        </is>
      </c>
      <c r="B21" s="4" t="n"/>
      <c r="C21" s="4" t="n"/>
      <c r="D21" s="4" t="n"/>
      <c r="E21" s="4" t="n"/>
      <c r="F21" s="4" t="n"/>
    </row>
    <row r="22">
      <c r="A22" s="5" t="inlineStr">
        <is>
          <t>EPF enabled</t>
        </is>
      </c>
      <c r="B22" s="8" t="n">
        <v>0</v>
      </c>
      <c r="C22" s="7" t="inlineStr">
        <is>
          <t>YOUR DB: statutory_settings is EMPTY, so this is currently 0 in production.</t>
        </is>
      </c>
    </row>
    <row r="23">
      <c r="A23" s="5" t="inlineStr">
        <is>
          <t>ESI enabled</t>
        </is>
      </c>
      <c r="B23" s="8" t="n">
        <v>0</v>
      </c>
      <c r="C23" s="7" t="inlineStr">
        <is>
          <t>YOUR DB: currently 0.</t>
        </is>
      </c>
    </row>
    <row r="24">
      <c r="A24" s="5" t="inlineStr">
        <is>
          <t>Professional Tax enabled</t>
        </is>
      </c>
      <c r="B24" s="8" t="n">
        <v>0</v>
      </c>
      <c r="C24" s="7" t="inlineStr">
        <is>
          <t>YOUR DB: currently 0.</t>
        </is>
      </c>
    </row>
    <row r="25">
      <c r="A25" s="5" t="inlineStr">
        <is>
          <t>LWF enabled</t>
        </is>
      </c>
      <c r="B25" s="8" t="n">
        <v>0</v>
      </c>
      <c r="C25" s="7" t="inlineStr">
        <is>
          <t>YOUR DB: currently 0.</t>
        </is>
      </c>
    </row>
    <row r="26">
      <c r="A26" s="5" t="inlineStr">
        <is>
          <t>Statutory bonus enabled</t>
        </is>
      </c>
      <c r="B26" s="8" t="n">
        <v>0</v>
      </c>
      <c r="C26" s="7" t="inlineStr">
        <is>
          <t>YOUR DB: currently 0.</t>
        </is>
      </c>
    </row>
    <row r="28">
      <c r="A28" s="3" t="inlineStr">
        <is>
          <t>STEP 1 — PAYABLE DAYS</t>
        </is>
      </c>
      <c r="B28" s="4" t="n"/>
      <c r="C28" s="4" t="n"/>
      <c r="D28" s="4" t="n"/>
      <c r="E28" s="4" t="n"/>
      <c r="F28" s="4" t="n"/>
    </row>
    <row r="29">
      <c r="A29" s="5" t="inlineStr">
        <is>
          <t>D — denominator</t>
        </is>
      </c>
      <c r="B29" s="10">
        <f>IF($B$9="fixed_days",$B$10,$B$11)</f>
        <v/>
      </c>
      <c r="C29" s="7" t="inlineStr">
        <is>
          <t>This is what the code returns as working_days. NOT the same as W.</t>
        </is>
      </c>
    </row>
    <row r="30">
      <c r="A30" s="5" t="inlineStr">
        <is>
          <t>paidRatio</t>
        </is>
      </c>
      <c r="B30" s="11">
        <f>IF($B$11&gt;0,MAX(0,$B$11-$B$12-$B$13)/$B$11,0)</f>
        <v/>
      </c>
      <c r="C30" s="7" t="inlineStr">
        <is>
          <t>max(0, W − N − L) / W. Zero-guarded when W = 0.</t>
        </is>
      </c>
    </row>
    <row r="31">
      <c r="A31" s="5" t="inlineStr">
        <is>
          <t>payment_days</t>
        </is>
      </c>
      <c r="B31" s="10">
        <f>ROUND($B$29*$B$30,2)</f>
        <v/>
      </c>
      <c r="C31" s="7" t="inlineStr">
        <is>
          <t>D × paidRatio. A RATIO SCALED ONTO D — not W minus L.</t>
        </is>
      </c>
    </row>
    <row r="32">
      <c r="A32" s="5" t="inlineStr">
        <is>
          <t>factor</t>
        </is>
      </c>
      <c r="B32" s="11">
        <f>IF($B$29&gt;0,$B$31/$B$29,0)</f>
        <v/>
      </c>
      <c r="C32" s="7" t="inlineStr">
        <is>
          <t>payment_days / D. Equals paidRatio exactly.</t>
        </is>
      </c>
    </row>
    <row r="34">
      <c r="A34" s="3" t="inlineStr">
        <is>
          <t>STEP 2 — PRORATED BASE</t>
        </is>
      </c>
      <c r="B34" s="4" t="n"/>
      <c r="C34" s="4" t="n"/>
      <c r="D34" s="4" t="n"/>
      <c r="E34" s="4" t="n"/>
      <c r="F34" s="4" t="n"/>
    </row>
    <row r="35">
      <c r="A35" s="5" t="inlineStr">
        <is>
          <t>b — prorated monthly gross</t>
        </is>
      </c>
      <c r="B35" s="12">
        <f>ROUND($B$5*$B$32,0)</f>
        <v/>
      </c>
      <c r="C35" s="7" t="inlineStr">
        <is>
          <t>round(base × factor)</t>
        </is>
      </c>
    </row>
    <row r="37">
      <c r="A37" s="3" t="inlineStr">
        <is>
          <t>CONTRACTED FULL-MONTH VALUES  (statutory eligibility only)</t>
        </is>
      </c>
      <c r="B37" s="4" t="n"/>
      <c r="C37" s="4" t="n"/>
      <c r="D37" s="4" t="n"/>
      <c r="E37" s="4" t="n"/>
      <c r="F37" s="4" t="n"/>
    </row>
    <row r="38">
      <c r="A38" s="5" t="inlineStr">
        <is>
          <t>Basic (full month)</t>
        </is>
      </c>
      <c r="B38" s="12">
        <f>ROUND($B$6/100*$B$5,0)</f>
        <v/>
      </c>
    </row>
    <row r="39">
      <c r="A39" s="5" t="inlineStr">
        <is>
          <t>HRA (full month)</t>
        </is>
      </c>
      <c r="B39" s="12">
        <f>ROUND($B$7/100*$B$38,0)</f>
        <v/>
      </c>
    </row>
    <row r="40">
      <c r="A40" s="5" t="inlineStr">
        <is>
          <t>Other Allowance (full month)</t>
        </is>
      </c>
      <c r="B40" s="12">
        <f>MAX(0,$B$5-$B$38-$B$39)</f>
        <v/>
      </c>
      <c r="C40" s="7" t="inlineStr">
        <is>
          <t>remainder line</t>
        </is>
      </c>
    </row>
    <row r="41">
      <c r="A41" s="5" t="inlineStr">
        <is>
          <t>fixed_salary_full</t>
        </is>
      </c>
      <c r="B41" s="12">
        <f>$B$38+$B$39+$B$40</f>
        <v/>
      </c>
    </row>
    <row r="42">
      <c r="A42" s="5" t="inlineStr">
        <is>
          <t>PF wage base (full)</t>
        </is>
      </c>
      <c r="B42" s="12">
        <f>$B$38+$B$40</f>
        <v/>
      </c>
      <c r="C42" s="7" t="inlineStr">
        <is>
          <t>Basic + Other. HRA has considerEpf = no in your structures.</t>
        </is>
      </c>
    </row>
    <row r="43">
      <c r="A43" s="5" t="inlineStr">
        <is>
          <t>ESI wage base (full)</t>
        </is>
      </c>
      <c r="B43" s="12">
        <f>$B$38+$B$39+$B$40</f>
        <v/>
      </c>
      <c r="C43" s="7" t="inlineStr">
        <is>
          <t>Basic + HRA + Other all have considerEsi = true.</t>
        </is>
      </c>
    </row>
    <row r="45">
      <c r="A45" s="3" t="inlineStr">
        <is>
          <t>STEP 3 — EARNINGS THIS MONTH</t>
        </is>
      </c>
      <c r="B45" s="4" t="n"/>
      <c r="C45" s="4" t="n"/>
      <c r="D45" s="4" t="n"/>
      <c r="E45" s="4" t="n"/>
      <c r="F45" s="4" t="n"/>
    </row>
    <row r="46">
      <c r="A46" s="5" t="inlineStr">
        <is>
          <t>Basic</t>
        </is>
      </c>
      <c r="B46" s="12">
        <f>ROUND($B$6/100*$B$35,0)</f>
        <v/>
      </c>
      <c r="C46" s="7" t="inlineStr">
        <is>
          <t>pct_of_base → % × b</t>
        </is>
      </c>
    </row>
    <row r="47">
      <c r="A47" s="5" t="inlineStr">
        <is>
          <t>House Rent Allowance</t>
        </is>
      </c>
      <c r="B47" s="12">
        <f>ROUND($B$7/100*$B$46,0)</f>
        <v/>
      </c>
      <c r="C47" s="7" t="inlineStr">
        <is>
          <t>pct_of_basic → % × Basic</t>
        </is>
      </c>
    </row>
    <row r="48">
      <c r="A48" s="5" t="inlineStr">
        <is>
          <t>Other Allowance</t>
        </is>
      </c>
      <c r="B48" s="12">
        <f>MAX(0,$B$35-$B$46-$B$47)</f>
        <v/>
      </c>
      <c r="C48" s="7" t="inlineStr">
        <is>
          <t>remainder → max(0, b − other fixed earnings)</t>
        </is>
      </c>
    </row>
    <row r="49">
      <c r="A49" s="5" t="inlineStr">
        <is>
          <t>PLI</t>
        </is>
      </c>
      <c r="B49" s="12">
        <f>$B$8</f>
        <v/>
      </c>
      <c r="C49" s="7" t="inlineStr">
        <is>
          <t>flat + variable + proRata false → never scaled</t>
        </is>
      </c>
    </row>
    <row r="50">
      <c r="A50" s="5" t="inlineStr">
        <is>
          <t>Overtime</t>
        </is>
      </c>
      <c r="B50" s="12">
        <f>IF(AND($B$14&gt;0,$B$29&gt;0,$B$16&gt;0),ROUND($B$14*($B$5/($B$29*$B$16))*$B$15,0),0)</f>
        <v/>
      </c>
      <c r="C50" s="7" t="inlineStr">
        <is>
          <t>round(hours × base/(D × std hours) × multiplier). Uses FULL base and D, not b.</t>
        </is>
      </c>
    </row>
    <row r="51">
      <c r="A51" s="5" t="inlineStr">
        <is>
          <t>Statutory bonus</t>
        </is>
      </c>
      <c r="B51" s="12">
        <f>IF(OR($B$26=0,$B$38&gt;21000),0,ROUND(ROUND(0.0833*MIN($B$38,MAX(7000,$B$19)),0)*$B$32,0))</f>
        <v/>
      </c>
      <c r="C51" s="7" t="inlineStr">
        <is>
          <t>Skipped entirely if contracted Basic &gt; 21,000. Prorated.</t>
        </is>
      </c>
    </row>
    <row r="52">
      <c r="A52" s="5" t="inlineStr">
        <is>
          <t>Adjustment (earning side)</t>
        </is>
      </c>
      <c r="B52" s="12">
        <f>MAX(0,$B$18)</f>
        <v/>
      </c>
    </row>
    <row r="53">
      <c r="A53" s="5" t="inlineStr">
        <is>
          <t>fixed_salary</t>
        </is>
      </c>
      <c r="B53" s="12">
        <f>$B$46+$B$47+$B$48</f>
        <v/>
      </c>
    </row>
    <row r="54">
      <c r="A54" s="5" t="inlineStr">
        <is>
          <t>variable_pay</t>
        </is>
      </c>
      <c r="B54" s="12">
        <f>$B$49+$B$50+$B$51+$B$52</f>
        <v/>
      </c>
    </row>
    <row r="55">
      <c r="A55" s="13" t="inlineStr">
        <is>
          <t>GROSS EARNINGS</t>
        </is>
      </c>
      <c r="B55" s="14">
        <f>$B$53+$B$54</f>
        <v/>
      </c>
      <c r="C55" s="7" t="inlineStr">
        <is>
          <t>fixed_salary + variable_pay</t>
        </is>
      </c>
    </row>
    <row r="57">
      <c r="A57" s="3" t="inlineStr">
        <is>
          <t>STEP 4 — DEDUCTIONS</t>
        </is>
      </c>
      <c r="B57" s="4" t="n"/>
      <c r="C57" s="4" t="n"/>
      <c r="D57" s="4" t="n"/>
      <c r="E57" s="4" t="n"/>
      <c r="F57" s="4" t="n"/>
    </row>
    <row r="58">
      <c r="A58" s="5" t="inlineStr">
        <is>
          <t>PF wage</t>
        </is>
      </c>
      <c r="B58" s="15">
        <f>MIN($B$42,15000)*$B$32</f>
        <v/>
      </c>
      <c r="C58" s="7" t="inlineStr">
        <is>
          <t>min(full PF base, 15,000 cap) × factor</t>
        </is>
      </c>
    </row>
    <row r="59">
      <c r="A59" s="5" t="inlineStr">
        <is>
          <t>EPF — employee</t>
        </is>
      </c>
      <c r="B59" s="12">
        <f>IF($B$22=0,0,ROUND(0.12*$B$58,0))</f>
        <v/>
      </c>
      <c r="C59" s="7" t="inlineStr">
        <is>
          <t>12% of PF wage</t>
        </is>
      </c>
    </row>
    <row r="60">
      <c r="A60" s="5" t="inlineStr">
        <is>
          <t>ESI covered?</t>
        </is>
      </c>
      <c r="B60" s="16">
        <f>IF($B$43&lt;=21000,"Yes","No")</f>
        <v/>
      </c>
      <c r="C60" s="7" t="inlineStr">
        <is>
          <t>Judged on the CONTRACTED wage, so a bad month cannot remove cover.</t>
        </is>
      </c>
    </row>
    <row r="61">
      <c r="A61" s="5" t="inlineStr">
        <is>
          <t>ESI wage (actual)</t>
        </is>
      </c>
      <c r="B61" s="12">
        <f>$B$46+$B$47+$B$48</f>
        <v/>
      </c>
      <c r="C61" s="7" t="inlineStr">
        <is>
          <t>The EARNED wage, unlike the eligibility test.</t>
        </is>
      </c>
    </row>
    <row r="62">
      <c r="A62" s="5" t="inlineStr">
        <is>
          <t>ESI — employee</t>
        </is>
      </c>
      <c r="B62" s="12">
        <f>IF(OR($B$23=0,$B$43&gt;21000),0,CEILING(0.0075*$B$61,1))</f>
        <v/>
      </c>
      <c r="C62" s="7" t="inlineStr">
        <is>
          <t>0.75%, rounds UP per statute</t>
        </is>
      </c>
    </row>
    <row r="63">
      <c r="A63" s="5" t="inlineStr">
        <is>
          <t>Labour Welfare Fund</t>
        </is>
      </c>
      <c r="B63" s="15">
        <f>IF($B$25=0,0,MIN(ROUND(0.002*$B$53,0),35))</f>
        <v/>
      </c>
      <c r="C63" s="7" t="inlineStr">
        <is>
          <t>min(0.20% of fixed salary, 35 cap)</t>
        </is>
      </c>
    </row>
    <row r="64">
      <c r="A64" s="5" t="inlineStr">
        <is>
          <t>Professional Tax</t>
        </is>
      </c>
      <c r="B64" s="12">
        <f>IF($B$24=0,0,IFERROR(INDEX('4. Statutory'!$D$21:$D$24,MATCH($B$55,'4. Statutory'!$B$21:$B$24,1)),0))</f>
        <v/>
      </c>
      <c r="C64" s="7" t="inlineStr">
        <is>
          <t>Slab matched on GROSS, so heavy LOP can drop the slab. Table on sheet 4.</t>
        </is>
      </c>
    </row>
    <row r="65">
      <c r="A65" s="5" t="inlineStr">
        <is>
          <t>TDS</t>
        </is>
      </c>
      <c r="B65" s="12">
        <f>$B$17</f>
        <v/>
      </c>
      <c r="C65" s="7" t="inlineStr">
        <is>
          <t>Stored flat figure. Never prorated.</t>
        </is>
      </c>
    </row>
    <row r="66">
      <c r="A66" s="5" t="inlineStr">
        <is>
          <t>Adjustment (deduction side)</t>
        </is>
      </c>
      <c r="B66" s="12">
        <f>ABS(MIN(0,$B$18))</f>
        <v/>
      </c>
    </row>
    <row r="67">
      <c r="A67" s="13" t="inlineStr">
        <is>
          <t>TOTAL DEDUCTIONS</t>
        </is>
      </c>
      <c r="B67" s="14">
        <f>$B$59+$B$62+$B$63+$B$64+$B$65+$B$66</f>
        <v/>
      </c>
    </row>
    <row r="69">
      <c r="A69" s="3" t="inlineStr">
        <is>
          <t>STEP 5 — NET PAY</t>
        </is>
      </c>
      <c r="B69" s="4" t="n"/>
      <c r="C69" s="4" t="n"/>
      <c r="D69" s="4" t="n"/>
      <c r="E69" s="4" t="n"/>
      <c r="F69" s="4" t="n"/>
    </row>
    <row r="70">
      <c r="A70" s="13" t="inlineStr">
        <is>
          <t>NET PAY</t>
        </is>
      </c>
      <c r="B70" s="17">
        <f>$B$55-$B$67</f>
        <v/>
      </c>
      <c r="C70" s="7" t="inlineStr">
        <is>
          <t>gross_earnings − total_deduction + reimbursements</t>
        </is>
      </c>
    </row>
    <row r="72">
      <c r="A72" s="3" t="inlineStr">
        <is>
          <t>EMPLOYER SIDE  (never touches net pay)</t>
        </is>
      </c>
      <c r="B72" s="4" t="n"/>
      <c r="C72" s="4" t="n"/>
      <c r="D72" s="4" t="n"/>
      <c r="E72" s="4" t="n"/>
      <c r="F72" s="4" t="n"/>
    </row>
    <row r="73">
      <c r="A73" s="5" t="inlineStr">
        <is>
          <t>EPF — employer</t>
        </is>
      </c>
      <c r="B73" s="12">
        <f>IF($B$22=0,0,ROUND(0.12*$B$58,0))</f>
        <v/>
      </c>
    </row>
    <row r="74">
      <c r="A74" s="5" t="inlineStr">
        <is>
          <t>ESI — employer</t>
        </is>
      </c>
      <c r="B74" s="12">
        <f>IF(OR($B$23=0,$B$43&gt;21000),0,CEILING(0.0325*$B$61,1))</f>
        <v/>
      </c>
      <c r="C74" s="7" t="inlineStr">
        <is>
          <t>3.25%, rounds up</t>
        </is>
      </c>
    </row>
    <row r="75">
      <c r="A75" s="5" t="inlineStr">
        <is>
          <t>LWF — employer</t>
        </is>
      </c>
      <c r="B75" s="12">
        <f>IF($B$25=0,0,ROUND($B$63*2,0))</f>
        <v/>
      </c>
      <c r="C75" s="7" t="inlineStr">
        <is>
          <t>2 × the employee figure</t>
        </is>
      </c>
    </row>
    <row r="76">
      <c r="A76" s="5" t="inlineStr">
        <is>
          <t>Gratuity provision</t>
        </is>
      </c>
      <c r="B76" s="12">
        <f>ROUND(0.0481*$B$46,0)</f>
        <v/>
      </c>
      <c r="C76" s="7" t="inlineStr">
        <is>
          <t>4.81% of Basic — a benefit line in your structures</t>
        </is>
      </c>
    </row>
    <row r="77">
      <c r="A77" s="13" t="inlineStr">
        <is>
          <t>CTC</t>
        </is>
      </c>
      <c r="B77" s="14">
        <f>$B$55+$B$73+$B$74+$B$75+$B$76</f>
        <v/>
      </c>
    </row>
    <row r="79">
      <c r="A79" s="13" t="inlineStr">
        <is>
          <t>Sanity check — the reference example</t>
        </is>
      </c>
    </row>
    <row r="80">
      <c r="A80" s="2" t="inlineStr">
        <is>
          <t>Base 30,000 · Basic 50% · W=26 · N=0 · L=0 · actual_days · all statutory ON → gross 30,583 · deductions 1,835 · net 28,748</t>
        </is>
      </c>
    </row>
    <row r="81">
      <c r="A81" s="18" t="inlineStr">
        <is>
          <t>Switch method to fixed_days (30) with L=2 → payment_days = 27.69, NOT 28. That is the single most misread number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30" customWidth="1" min="3" max="3"/>
    <col width="52" customWidth="1" min="4" max="4"/>
  </cols>
  <sheetData>
    <row r="1">
      <c r="A1" s="1" t="inlineStr">
        <is>
          <t>Step 1 — how many days get paid</t>
        </is>
      </c>
    </row>
    <row r="2">
      <c r="A2" s="2" t="inlineStr">
        <is>
          <t>Every date in the month is classified, then each working day is given a loss-of-pay fraction.</t>
        </is>
      </c>
    </row>
    <row r="4">
      <c r="A4" s="3" t="inlineStr">
        <is>
          <t>A. WHICH DAYS ARE REST DAYS — three rungs, first non-empty wins</t>
        </is>
      </c>
      <c r="B4" s="4" t="n"/>
      <c r="C4" s="4" t="n"/>
      <c r="D4" s="4" t="n"/>
      <c r="E4" s="4" t="n"/>
      <c r="F4" s="4" t="n"/>
    </row>
    <row r="5">
      <c r="A5" s="13" t="inlineStr">
        <is>
          <t>Rung</t>
        </is>
      </c>
      <c r="B5" s="13" t="inlineStr">
        <is>
          <t>Source</t>
        </is>
      </c>
      <c r="C5" s="13" t="inlineStr">
        <is>
          <t>Field</t>
        </is>
      </c>
      <c r="D5" s="13" t="inlineStr">
        <is>
          <t>Note</t>
        </is>
      </c>
    </row>
    <row r="6">
      <c r="A6" s="19" t="inlineStr">
        <is>
          <t>Rung 1</t>
        </is>
      </c>
      <c r="B6" s="19" t="inlineStr">
        <is>
          <t>The shift in force on that date</t>
        </is>
      </c>
      <c r="C6" s="19" t="inlineStr">
        <is>
          <t>shift_types.weekly_off_days</t>
        </is>
      </c>
      <c r="D6" s="19" t="inlineStr">
        <is>
          <t>Only the assignment whose effective_from is on or before the date.</t>
        </is>
      </c>
    </row>
    <row r="7">
      <c r="A7" s="19" t="inlineStr">
        <is>
          <t>Rung 2</t>
        </is>
      </c>
      <c r="B7" s="19" t="inlineStr">
        <is>
          <t>The employee's leave template</t>
        </is>
      </c>
      <c r="C7" s="19" t="inlineStr">
        <is>
          <t>leave_templates.off_day_rules</t>
        </is>
      </c>
      <c r="D7" s="19" t="inlineStr">
        <is>
          <t>Falls back to the template flagged is_default.</t>
        </is>
      </c>
    </row>
    <row r="8">
      <c r="A8" s="19" t="inlineStr">
        <is>
          <t>Rung 3</t>
        </is>
      </c>
      <c r="B8" s="19" t="inlineStr">
        <is>
          <t>The organisation work week</t>
        </is>
      </c>
      <c r="C8" s="19" t="inlineStr">
        <is>
          <t>pay_schedule_settings.work_week</t>
        </is>
      </c>
      <c r="D8" s="19" t="inlineStr">
        <is>
          <t>YOUR LIVE SETTING: Mon-Fri [1,2,3,4,5].</t>
        </is>
      </c>
    </row>
    <row r="10">
      <c r="A10" s="2" t="inlineStr">
        <is>
          <t>An EMPTY pattern at a rung falls through to the next. It never means "works every day".</t>
        </is>
      </c>
    </row>
    <row r="11">
      <c r="A11" s="2" t="inlineStr">
        <is>
          <t>Each rung is clamped: dates before work_pattern_effective_from see no rules, so a pattern saved today cannot re-price a paid month.</t>
        </is>
      </c>
    </row>
    <row r="12">
      <c r="A12" s="18" t="inlineStr">
        <is>
          <t>YOUR LIVE CLAMP DATE: 2026-08-01.</t>
        </is>
      </c>
    </row>
    <row r="14">
      <c r="A14" s="3" t="inlineStr">
        <is>
          <t>B. PRECEDENCE  —  weekly off  &gt;  holiday  &gt;  working</t>
        </is>
      </c>
      <c r="B14" s="4" t="n"/>
      <c r="C14" s="4" t="n"/>
      <c r="D14" s="4" t="n"/>
      <c r="E14" s="4" t="n"/>
      <c r="F14" s="4" t="n"/>
    </row>
    <row r="15">
      <c r="A15" s="5" t="inlineStr">
        <is>
          <t>A holiday landing on a rest day stays a rest day. It moves no money either way.</t>
        </is>
      </c>
    </row>
    <row r="16">
      <c r="A16" s="5" t="inlineStr">
        <is>
          <t>An 'absent' mark on a rest day costs nothing — the code skips the date before it ever reads attendance.</t>
        </is>
      </c>
    </row>
    <row r="18">
      <c r="A18" s="3" t="inlineStr">
        <is>
          <t>C. WHAT EACH ATTENDANCE CODE COSTS  (your live attendance_pay_rules)</t>
        </is>
      </c>
      <c r="B18" s="4" t="n"/>
      <c r="C18" s="4" t="n"/>
      <c r="D18" s="4" t="n"/>
      <c r="E18" s="4" t="n"/>
      <c r="F18" s="4" t="n"/>
    </row>
    <row r="19">
      <c r="A19" s="13" t="inlineStr">
        <is>
          <t>Code</t>
        </is>
      </c>
      <c r="B19" s="13" t="inlineStr">
        <is>
          <t>pay_fraction</t>
        </is>
      </c>
      <c r="C19" s="13" t="inlineStr">
        <is>
          <t>Costs (LOP)</t>
        </is>
      </c>
      <c r="D19" s="13" t="inlineStr">
        <is>
          <t>Note</t>
        </is>
      </c>
    </row>
    <row r="20">
      <c r="A20" s="5" t="inlineStr">
        <is>
          <t>present</t>
        </is>
      </c>
      <c r="B20" s="20" t="n">
        <v>1</v>
      </c>
      <c r="C20" s="20">
        <f>1-B20</f>
        <v/>
      </c>
      <c r="D20" s="2" t="inlineStr"/>
    </row>
    <row r="21">
      <c r="A21" s="5" t="inlineStr">
        <is>
          <t>half_day</t>
        </is>
      </c>
      <c r="B21" s="20" t="n">
        <v>0.5</v>
      </c>
      <c r="C21" s="20">
        <f>1-B21</f>
        <v/>
      </c>
      <c r="D21" s="2" t="inlineStr">
        <is>
          <t>Also debits 0.5 of a leave balance.</t>
        </is>
      </c>
    </row>
    <row r="22">
      <c r="A22" s="5" t="inlineStr">
        <is>
          <t>hhd</t>
        </is>
      </c>
      <c r="B22" s="20" t="n">
        <v>0.5</v>
      </c>
      <c r="C22" s="20">
        <f>1-B22</f>
        <v/>
      </c>
      <c r="D22" s="2" t="inlineStr">
        <is>
          <t>Half day with half leave.</t>
        </is>
      </c>
    </row>
    <row r="23">
      <c r="A23" s="5" t="inlineStr">
        <is>
          <t>short_punch</t>
        </is>
      </c>
      <c r="B23" s="20" t="n">
        <v>0.5</v>
      </c>
      <c r="C23" s="20">
        <f>1-B23</f>
        <v/>
      </c>
      <c r="D23" s="2" t="inlineStr"/>
    </row>
    <row r="24">
      <c r="A24" s="5" t="inlineStr">
        <is>
          <t>miss_punch</t>
        </is>
      </c>
      <c r="B24" s="20" t="n">
        <v>1</v>
      </c>
      <c r="C24" s="20">
        <f>1-B24</f>
        <v/>
      </c>
      <c r="D24" s="2" t="inlineStr">
        <is>
          <t>Free for the first 3 in a month; the 4th onward costs 0.5.</t>
        </is>
      </c>
    </row>
    <row r="25">
      <c r="A25" s="5" t="inlineStr">
        <is>
          <t>no_punch</t>
        </is>
      </c>
      <c r="B25" s="20" t="n">
        <v>0</v>
      </c>
      <c r="C25" s="20">
        <f>1-B25</f>
        <v/>
      </c>
      <c r="D25" s="2" t="inlineStr"/>
    </row>
    <row r="26">
      <c r="A26" s="5" t="inlineStr">
        <is>
          <t>absent</t>
        </is>
      </c>
      <c r="B26" s="20" t="n">
        <v>0</v>
      </c>
      <c r="C26" s="20">
        <f>1-B26</f>
        <v/>
      </c>
      <c r="D26" s="2" t="inlineStr"/>
    </row>
    <row r="27">
      <c r="A27" s="21" t="inlineStr">
        <is>
          <t>weekly_off</t>
        </is>
      </c>
      <c r="B27" s="22" t="n">
        <v>1</v>
      </c>
      <c r="C27" s="22">
        <f>1-B27</f>
        <v/>
      </c>
      <c r="D27" s="18" t="inlineStr">
        <is>
          <t>DEAD ROW — the payroll engine never reads it.</t>
        </is>
      </c>
    </row>
    <row r="29">
      <c r="A29" s="3" t="inlineStr">
        <is>
          <t>D. LOSS OF PAY PER DAY — in precedence order, first match wins</t>
        </is>
      </c>
      <c r="B29" s="4" t="n"/>
      <c r="C29" s="4" t="n"/>
      <c r="D29" s="4" t="n"/>
      <c r="E29" s="4" t="n"/>
      <c r="F29" s="4" t="n"/>
    </row>
    <row r="30">
      <c r="A30" s="13" t="inlineStr">
        <is>
          <t>#</t>
        </is>
      </c>
      <c r="B30" s="13" t="inlineStr">
        <is>
          <t>Condition</t>
        </is>
      </c>
      <c r="C30" s="13" t="inlineStr">
        <is>
          <t>dayLop</t>
        </is>
      </c>
      <c r="D30" s="13" t="inlineStr">
        <is>
          <t>Note</t>
        </is>
      </c>
    </row>
    <row r="31">
      <c r="A31" s="19" t="inlineStr">
        <is>
          <t>1</t>
        </is>
      </c>
      <c r="B31" s="19" t="inlineStr">
        <is>
          <t>Approved regularisation (and status is not absent / on_leave)</t>
        </is>
      </c>
      <c r="C31" s="19" t="inlineStr">
        <is>
          <t>0</t>
        </is>
      </c>
      <c r="D31" s="23" t="inlineStr">
        <is>
          <t>Full pay, overriding the code and any leave.</t>
        </is>
      </c>
    </row>
    <row r="32">
      <c r="A32" s="19" t="inlineStr">
        <is>
          <t>2</t>
        </is>
      </c>
      <c r="B32" s="19" t="inlineStr">
        <is>
          <t>present / half_day / hhd</t>
        </is>
      </c>
      <c r="C32" s="19" t="inlineStr">
        <is>
          <t>1 − pay_fraction</t>
        </is>
      </c>
      <c r="D32" s="23" t="inlineStr">
        <is>
          <t>Leave is NOT consulted for these.</t>
        </is>
      </c>
    </row>
    <row r="33">
      <c r="A33" s="19" t="inlineStr">
        <is>
          <t>3</t>
        </is>
      </c>
      <c r="B33" s="19" t="inlineStr">
        <is>
          <t>An approved PAID leave covers the day</t>
        </is>
      </c>
      <c r="C33" s="19" t="inlineStr">
        <is>
          <t>0</t>
        </is>
      </c>
      <c r="D33" s="23" t="inlineStr">
        <is>
          <t>Beats the attendance code.</t>
        </is>
      </c>
    </row>
    <row r="34">
      <c r="A34" s="19" t="inlineStr">
        <is>
          <t>4</t>
        </is>
      </c>
      <c r="B34" s="19" t="inlineStr">
        <is>
          <t>An approved UNPAID leave covers the day</t>
        </is>
      </c>
      <c r="C34" s="19" t="inlineStr">
        <is>
          <t>1</t>
        </is>
      </c>
      <c r="D34" s="23" t="inlineStr">
        <is>
          <t>Hardcoded. Never reads the rules table.</t>
        </is>
      </c>
    </row>
    <row r="35">
      <c r="A35" s="19" t="inlineStr">
        <is>
          <t>5</t>
        </is>
      </c>
      <c r="B35" s="19" t="inlineStr">
        <is>
          <t>miss_punch beyond the 3-day allowance</t>
        </is>
      </c>
      <c r="C35" s="19" t="inlineStr">
        <is>
          <t>0.5</t>
        </is>
      </c>
      <c r="D35" s="23" t="inlineStr"/>
    </row>
    <row r="36">
      <c r="A36" s="19" t="inlineStr">
        <is>
          <t>6</t>
        </is>
      </c>
      <c r="B36" s="19" t="inlineStr">
        <is>
          <t>Any other code</t>
        </is>
      </c>
      <c r="C36" s="19" t="inlineStr">
        <is>
          <t>1 − pay_fraction</t>
        </is>
      </c>
      <c r="D36" s="23" t="inlineStr">
        <is>
          <t>From the table above.</t>
        </is>
      </c>
    </row>
    <row r="37">
      <c r="A37" s="19" t="inlineStr">
        <is>
          <t>7</t>
        </is>
      </c>
      <c r="B37" s="19" t="inlineStr">
        <is>
          <t>No record, date in the future</t>
        </is>
      </c>
      <c r="C37" s="19" t="inlineStr">
        <is>
          <t>0</t>
        </is>
      </c>
      <c r="D37" s="23" t="inlineStr"/>
    </row>
    <row r="38">
      <c r="A38" s="19" t="inlineStr">
        <is>
          <t>8</t>
        </is>
      </c>
      <c r="B38" s="19" t="inlineStr">
        <is>
          <t>No record, unmarked policy = absent</t>
        </is>
      </c>
      <c r="C38" s="19" t="inlineStr">
        <is>
          <t>1</t>
        </is>
      </c>
      <c r="D38" s="23" t="inlineStr">
        <is>
          <t>YOUR LIVE SETTING is 'present', so this does not apply.</t>
        </is>
      </c>
    </row>
    <row r="39">
      <c r="A39" s="19" t="inlineStr">
        <is>
          <t>9</t>
        </is>
      </c>
      <c r="B39" s="19" t="inlineStr">
        <is>
          <t>No record, unmarked policy = present</t>
        </is>
      </c>
      <c r="C39" s="19" t="inlineStr">
        <is>
          <t>0</t>
        </is>
      </c>
      <c r="D39" s="23" t="inlineStr">
        <is>
          <t>YOUR LIVE SETTING.</t>
        </is>
      </c>
    </row>
    <row r="42">
      <c r="A42" s="3" t="inlineStr">
        <is>
          <t>E. THE THREE COUNTS THAT LEAVE THIS STEP</t>
        </is>
      </c>
      <c r="B42" s="4" t="n"/>
      <c r="C42" s="4" t="n"/>
      <c r="D42" s="4" t="n"/>
      <c r="E42" s="4" t="n"/>
      <c r="F42" s="4" t="n"/>
    </row>
    <row r="43">
      <c r="A43" s="5" t="inlineStr">
        <is>
          <t>W — scheduled working days</t>
        </is>
      </c>
      <c r="B43" s="16">
        <f> working days + (holidays_paid ? holidays : 0)</f>
        <v/>
      </c>
      <c r="C43" s="7" t="inlineStr">
        <is>
          <t>Paid holidays sit INSIDE W, so they dilute the per-day rate. Weekly offs never enter W.</t>
        </is>
      </c>
    </row>
    <row r="44">
      <c r="A44" s="5" t="inlineStr">
        <is>
          <t>N — not-employed days</t>
        </is>
      </c>
      <c r="B44" s="16">
        <f> days in W outside [joining, last working day]</f>
        <v/>
      </c>
      <c r="C44" s="7" t="inlineStr">
        <is>
          <t>Stay in the divisor but are never paid.</t>
        </is>
      </c>
    </row>
    <row r="45">
      <c r="A45" s="5" t="inlineStr">
        <is>
          <t>L — loss-of-pay days</t>
        </is>
      </c>
      <c r="B45" s="16">
        <f> sum of dayLop over working days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20" customWidth="1" min="3" max="3"/>
    <col width="56" customWidth="1" min="4" max="4"/>
  </cols>
  <sheetData>
    <row r="1">
      <c r="A1" s="1" t="inlineStr">
        <is>
          <t>Steps 2 and 3 — turning the base into earnings</t>
        </is>
      </c>
    </row>
    <row r="2">
      <c r="A2" s="2" t="inlineStr">
        <is>
          <t>Four line types, and the rules for which ones shrink when days are lost.</t>
        </is>
      </c>
    </row>
    <row r="4">
      <c r="A4" s="3" t="inlineStr">
        <is>
          <t>A. THE FOUR LINE CALCULATION METHODS</t>
        </is>
      </c>
      <c r="B4" s="4" t="n"/>
      <c r="C4" s="4" t="n"/>
      <c r="D4" s="4" t="n"/>
      <c r="E4" s="4" t="n"/>
      <c r="F4" s="4" t="n"/>
    </row>
    <row r="5">
      <c r="A5" s="13" t="inlineStr">
        <is>
          <t>Method</t>
        </is>
      </c>
      <c r="B5" s="13" t="inlineStr">
        <is>
          <t>Formula</t>
        </is>
      </c>
      <c r="C5" s="13" t="inlineStr">
        <is>
          <t>Worked (b = 30,000)</t>
        </is>
      </c>
      <c r="D5" s="13" t="inlineStr">
        <is>
          <t>Note</t>
        </is>
      </c>
    </row>
    <row r="6">
      <c r="A6" s="19" t="inlineStr">
        <is>
          <t>flat</t>
        </is>
      </c>
      <c r="B6" s="24" t="inlineStr">
        <is>
          <t>round(value × scale)</t>
        </is>
      </c>
      <c r="C6" s="19">
        <f>B8 on sheet 1</f>
        <v/>
      </c>
      <c r="D6" s="23" t="inlineStr">
        <is>
          <t>scale = factor for earnings, 1 for everything else.</t>
        </is>
      </c>
    </row>
    <row r="7">
      <c r="A7" s="19" t="inlineStr">
        <is>
          <t>pct_of_base</t>
        </is>
      </c>
      <c r="B7" s="24" t="inlineStr">
        <is>
          <t>round(value/100 × b)</t>
        </is>
      </c>
      <c r="C7" s="19" t="inlineStr">
        <is>
          <t>50% → 15,000</t>
        </is>
      </c>
      <c r="D7" s="23" t="inlineStr">
        <is>
          <t>b is the ALREADY-PRORATED base.</t>
        </is>
      </c>
    </row>
    <row r="8">
      <c r="A8" s="19" t="inlineStr">
        <is>
          <t>pct_of_basic</t>
        </is>
      </c>
      <c r="B8" s="24" t="inlineStr">
        <is>
          <t>round(value/100 × Basic)</t>
        </is>
      </c>
      <c r="C8" s="19" t="inlineStr">
        <is>
          <t>50% → 7,500</t>
        </is>
      </c>
      <c r="D8" s="23" t="inlineStr">
        <is>
          <t>Basic is found by REGEX on the payslip name.</t>
        </is>
      </c>
    </row>
    <row r="9">
      <c r="A9" s="19" t="inlineStr">
        <is>
          <t>remainder</t>
        </is>
      </c>
      <c r="B9" s="24" t="inlineStr">
        <is>
          <t>max(0, b − other fixed earnings)</t>
        </is>
      </c>
      <c r="C9" s="19" t="inlineStr">
        <is>
          <t>30,000 − 22,500 = 7,500</t>
        </is>
      </c>
      <c r="D9" s="23" t="inlineStr">
        <is>
          <t>Only one allowed. Forces fixed earnings to equal b.</t>
        </is>
      </c>
    </row>
    <row r="12">
      <c r="A12" s="3" t="inlineStr">
        <is>
          <t>B. WHAT SHRINKS WHEN DAYS ARE LOST</t>
        </is>
      </c>
      <c r="B12" s="4" t="n"/>
      <c r="C12" s="4" t="n"/>
      <c r="D12" s="4" t="n"/>
      <c r="E12" s="4" t="n"/>
      <c r="F12" s="4" t="n"/>
    </row>
    <row r="13">
      <c r="A13" s="13" t="inlineStr">
        <is>
          <t>Line type</t>
        </is>
      </c>
      <c r="B13" s="13" t="inlineStr">
        <is>
          <t>Prorates?</t>
        </is>
      </c>
      <c r="D13" s="13" t="inlineStr">
        <is>
          <t>Why</t>
        </is>
      </c>
    </row>
    <row r="14">
      <c r="A14" s="19" t="inlineStr">
        <is>
          <t>pct_of_base / pct_of_basic / remainder</t>
        </is>
      </c>
      <c r="B14" s="19" t="inlineStr">
        <is>
          <t>YES</t>
        </is>
      </c>
      <c r="C14" s="19" t="inlineStr"/>
      <c r="D14" s="23" t="inlineStr">
        <is>
          <t>Because b is already prorated — including DEDUCTIONS priced this way.</t>
        </is>
      </c>
    </row>
    <row r="15">
      <c r="A15" s="19" t="inlineStr">
        <is>
          <t>flat FIXED earning</t>
        </is>
      </c>
      <c r="B15" s="19" t="inlineStr">
        <is>
          <t>YES, always</t>
        </is>
      </c>
      <c r="C15" s="19" t="inlineStr"/>
      <c r="D15" s="23" t="inlineStr">
        <is>
          <t>The proRata flag is ignored on fixed earnings.</t>
        </is>
      </c>
    </row>
    <row r="16">
      <c r="A16" s="19" t="inlineStr">
        <is>
          <t>flat VARIABLE earning</t>
        </is>
      </c>
      <c r="B16" s="19" t="inlineStr">
        <is>
          <t>Only if proRata = true</t>
        </is>
      </c>
      <c r="C16" s="19" t="inlineStr"/>
      <c r="D16" s="23" t="inlineStr">
        <is>
          <t>Your PLI has proRata = false, so it never shrinks.</t>
        </is>
      </c>
    </row>
    <row r="17">
      <c r="A17" s="19" t="inlineStr">
        <is>
          <t>flat deduction / benefit / reimbursement</t>
        </is>
      </c>
      <c r="B17" s="19" t="inlineStr">
        <is>
          <t>NEVER</t>
        </is>
      </c>
      <c r="C17" s="19" t="inlineStr"/>
      <c r="D17" s="23" t="inlineStr">
        <is>
          <t>scale is hardcoded to 1.</t>
        </is>
      </c>
    </row>
    <row r="18">
      <c r="A18" s="19" t="inlineStr">
        <is>
          <t>Everything, when paid hourly</t>
        </is>
      </c>
      <c r="B18" s="19" t="inlineStr">
        <is>
          <t>NEVER</t>
        </is>
      </c>
      <c r="C18" s="19" t="inlineStr"/>
      <c r="D18" s="23" t="inlineStr">
        <is>
          <t>Pay is base × hours instead.</t>
        </is>
      </c>
    </row>
    <row r="20">
      <c r="A20" s="3" t="inlineStr">
        <is>
          <t>C. THE TWO INJECTED LINES</t>
        </is>
      </c>
      <c r="B20" s="4" t="n"/>
      <c r="C20" s="4" t="n"/>
      <c r="D20" s="4" t="n"/>
      <c r="E20" s="4" t="n"/>
      <c r="F20" s="4" t="n"/>
    </row>
    <row r="21">
      <c r="A21" s="13" t="inlineStr">
        <is>
          <t>Overtime</t>
        </is>
      </c>
    </row>
    <row r="22">
      <c r="A22" s="25" t="inlineStr">
        <is>
          <t>round(otHours × (base / (D × standard_day_hours)) × multiplier)</t>
        </is>
      </c>
    </row>
    <row r="23">
      <c r="A23" s="2" t="inlineStr">
        <is>
          <t>Uses the FULL contracted base and D — not Basic, and not the prorated b. Variable, never prorated, outside PF and ESI.</t>
        </is>
      </c>
    </row>
    <row r="24">
      <c r="A24" s="18" t="inlineStr">
        <is>
          <t>Under fixed_days that D is 30, so the rate is base/(30×8) regardless of the real roster.</t>
        </is>
      </c>
    </row>
    <row r="26">
      <c r="A26" s="13" t="inlineStr">
        <is>
          <t>Statutory bonus</t>
        </is>
      </c>
    </row>
    <row r="27">
      <c r="A27" s="25" t="inlineStr">
        <is>
          <t>round(monthlyPercent/100 × min(contractedBasic, max(7000, stateMinWage)))   then × factor</t>
        </is>
      </c>
    </row>
    <row r="28">
      <c r="A28" s="2" t="inlineStr">
        <is>
          <t>Skipped entirely when contracted Basic &gt; 21,000 (eligibility ceiling). Default rate 8.33%. Enters gross, so it can shift the PT slab.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4" customWidth="1" min="3" max="3"/>
    <col width="22" customWidth="1" min="4" max="4"/>
    <col width="46" customWidth="1" min="5" max="5"/>
  </cols>
  <sheetData>
    <row r="1">
      <c r="A1" s="1" t="inlineStr">
        <is>
          <t>Step 4 — statutory deductions</t>
        </is>
      </c>
    </row>
    <row r="2">
      <c r="A2" s="2" t="inlineStr">
        <is>
          <t>Each component, the wage base it uses, and whether that base is contracted or prorated.</t>
        </is>
      </c>
    </row>
    <row r="4">
      <c r="A4" s="3" t="inlineStr">
        <is>
          <t>A. THE FIVE DEDUCTIONS</t>
        </is>
      </c>
      <c r="B4" s="4" t="n"/>
      <c r="C4" s="4" t="n"/>
      <c r="D4" s="4" t="n"/>
      <c r="E4" s="4" t="n"/>
      <c r="F4" s="4" t="n"/>
    </row>
    <row r="5">
      <c r="A5" s="26" t="inlineStr">
        <is>
          <t>Component</t>
        </is>
      </c>
      <c r="B5" s="26" t="inlineStr">
        <is>
          <t>Rate</t>
        </is>
      </c>
      <c r="C5" s="26" t="inlineStr">
        <is>
          <t>Wage base</t>
        </is>
      </c>
      <c r="D5" s="26" t="inlineStr">
        <is>
          <t>Contracted or earned?</t>
        </is>
      </c>
      <c r="E5" s="26" t="inlineStr">
        <is>
          <t>Rounding</t>
        </is>
      </c>
    </row>
    <row r="6">
      <c r="A6" s="19" t="inlineStr">
        <is>
          <t>EPF — employee</t>
        </is>
      </c>
      <c r="B6" s="19" t="inlineStr">
        <is>
          <t>12%</t>
        </is>
      </c>
      <c r="C6" s="19" t="inlineStr">
        <is>
          <t>min(PF base, 15,000) × factor</t>
        </is>
      </c>
      <c r="D6" s="19" t="inlineStr">
        <is>
          <t>Membership: CONTRACTED</t>
        </is>
      </c>
      <c r="E6" s="19" t="inlineStr">
        <is>
          <t>Rupee, half-up</t>
        </is>
      </c>
    </row>
    <row r="7">
      <c r="A7" s="19" t="inlineStr">
        <is>
          <t>EPF — employer</t>
        </is>
      </c>
      <c r="B7" s="19" t="inlineStr">
        <is>
          <t>12%</t>
        </is>
      </c>
      <c r="C7" s="19" t="inlineStr">
        <is>
          <t>same</t>
        </is>
      </c>
      <c r="D7" s="19" t="inlineStr">
        <is>
          <t>—</t>
        </is>
      </c>
      <c r="E7" s="19" t="inlineStr">
        <is>
          <t>Rupee, half-up</t>
        </is>
      </c>
    </row>
    <row r="8">
      <c r="A8" s="19" t="inlineStr">
        <is>
          <t>ESI — employee</t>
        </is>
      </c>
      <c r="B8" s="19" t="inlineStr">
        <is>
          <t>0.75%</t>
        </is>
      </c>
      <c r="C8" s="19" t="inlineStr">
        <is>
          <t>Earned ESI base</t>
        </is>
      </c>
      <c r="D8" s="19" t="inlineStr">
        <is>
          <t>Eligibility: CONTRACTED (≤21,000)</t>
        </is>
      </c>
      <c r="E8" s="19" t="inlineStr">
        <is>
          <t>Rounds UP (ceiling)</t>
        </is>
      </c>
    </row>
    <row r="9">
      <c r="A9" s="19" t="inlineStr">
        <is>
          <t>ESI — employer</t>
        </is>
      </c>
      <c r="B9" s="19" t="inlineStr">
        <is>
          <t>3.25%</t>
        </is>
      </c>
      <c r="C9" s="19" t="inlineStr">
        <is>
          <t>same</t>
        </is>
      </c>
      <c r="D9" s="19" t="inlineStr">
        <is>
          <t>—</t>
        </is>
      </c>
      <c r="E9" s="19" t="inlineStr">
        <is>
          <t>Rounds UP (ceiling)</t>
        </is>
      </c>
    </row>
    <row r="10">
      <c r="A10" s="19" t="inlineStr">
        <is>
          <t>Professional Tax</t>
        </is>
      </c>
      <c r="B10" s="19" t="inlineStr">
        <is>
          <t>Slab</t>
        </is>
      </c>
      <c r="C10" s="19" t="inlineStr">
        <is>
          <t>gross_earnings</t>
        </is>
      </c>
      <c r="D10" s="19" t="inlineStr">
        <is>
          <t>EARNED — LOP can drop the slab</t>
        </is>
      </c>
      <c r="E10" s="19" t="inlineStr">
        <is>
          <t>Rupee, half-up</t>
        </is>
      </c>
    </row>
    <row r="11">
      <c r="A11" s="19" t="inlineStr">
        <is>
          <t>Labour Welfare Fund</t>
        </is>
      </c>
      <c r="B11" s="19" t="inlineStr">
        <is>
          <t>0.20%, cap 35</t>
        </is>
      </c>
      <c r="C11" s="19" t="inlineStr">
        <is>
          <t>fixed_salary</t>
        </is>
      </c>
      <c r="D11" s="19" t="inlineStr">
        <is>
          <t>EARNED</t>
        </is>
      </c>
      <c r="E11" s="19" t="inlineStr">
        <is>
          <t>Percent: rupee. Fixed: KEEPS PAISE</t>
        </is>
      </c>
    </row>
    <row r="12">
      <c r="A12" s="19" t="inlineStr">
        <is>
          <t>TDS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Stored flat figure — NOT computed</t>
        </is>
      </c>
    </row>
    <row r="15">
      <c r="A15" s="3" t="inlineStr">
        <is>
          <t>B. WHY THREE DIFFERENT WAGE BASES</t>
        </is>
      </c>
      <c r="B15" s="4" t="n"/>
      <c r="C15" s="4" t="n"/>
      <c r="D15" s="4" t="n"/>
      <c r="E15" s="4" t="n"/>
      <c r="F15" s="4" t="n"/>
    </row>
    <row r="16">
      <c r="A16" s="5" t="inlineStr">
        <is>
          <t>EPF membership and ESI eligibility use the CONTRACTED full-month wage, so a heavy loss-of-pay month cannot knock someone out of cover.</t>
        </is>
      </c>
    </row>
    <row r="17">
      <c r="A17" s="5" t="inlineStr">
        <is>
          <t>ESI's actual contribution and PT's slab use the PRORATED gross, so a bad month CAN drop someone into a lower PT slab.</t>
        </is>
      </c>
    </row>
    <row r="18">
      <c r="A18" s="2" t="inlineStr">
        <is>
          <t>This asymmetry is deliberate, and it is the single easiest thing to misread on a payslip.</t>
        </is>
      </c>
    </row>
    <row r="20">
      <c r="A20" s="3" t="inlineStr">
        <is>
          <t>Slab</t>
        </is>
      </c>
      <c r="B20" s="3" t="inlineStr">
        <is>
          <t>Gross from</t>
        </is>
      </c>
      <c r="C20" s="3" t="inlineStr">
        <is>
          <t>Gross to</t>
        </is>
      </c>
      <c r="D20" s="3" t="inlineStr">
        <is>
          <t>PT amount</t>
        </is>
      </c>
      <c r="E20" s="4" t="n"/>
      <c r="F20" s="4" t="n"/>
    </row>
    <row r="21">
      <c r="A21" s="5" t="n">
        <v>1</v>
      </c>
      <c r="B21" s="6" t="n">
        <v>0</v>
      </c>
      <c r="C21" s="6" t="n">
        <v>15000</v>
      </c>
      <c r="D21" s="6" t="n">
        <v>0</v>
      </c>
    </row>
    <row r="22">
      <c r="A22" s="5" t="n">
        <v>2</v>
      </c>
      <c r="B22" s="6" t="n">
        <v>15001</v>
      </c>
      <c r="C22" s="6" t="n">
        <v>20000</v>
      </c>
      <c r="D22" s="6" t="n">
        <v>150</v>
      </c>
    </row>
    <row r="23">
      <c r="A23" s="5" t="n">
        <v>3</v>
      </c>
      <c r="B23" s="6" t="n">
        <v>20001</v>
      </c>
      <c r="C23" s="6" t="n">
        <v>25000</v>
      </c>
      <c r="D23" s="6" t="n">
        <v>200</v>
      </c>
    </row>
    <row r="24">
      <c r="A24" s="5" t="n">
        <v>4</v>
      </c>
      <c r="B24" s="6" t="n">
        <v>25001</v>
      </c>
      <c r="C24" s="6" t="n">
        <v>999999</v>
      </c>
      <c r="D24" s="6" t="n">
        <v>200</v>
      </c>
    </row>
    <row r="26">
      <c r="A26" s="18" t="inlineStr">
        <is>
          <t>These are ILLUSTRATIVE. Your statutory_settings table is empty, so PT is genuinely 0 for everyone today.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40" customWidth="1" min="3" max="3"/>
    <col width="34" customWidth="1" min="4" max="4"/>
  </cols>
  <sheetData>
    <row r="1">
      <c r="A1" s="1" t="inlineStr">
        <is>
          <t>Every equation in the system</t>
        </is>
      </c>
    </row>
    <row r="2">
      <c r="A2" s="2" t="inlineStr">
        <is>
          <t>In execution order. Source file and line for each.</t>
        </is>
      </c>
    </row>
    <row r="4">
      <c r="A4" s="3" t="inlineStr">
        <is>
          <t>#</t>
        </is>
      </c>
      <c r="B4" s="3" t="inlineStr">
        <is>
          <t>Equation</t>
        </is>
      </c>
      <c r="C4" s="3" t="inlineStr">
        <is>
          <t>Variables</t>
        </is>
      </c>
      <c r="D4" s="3" t="inlineStr">
        <is>
          <t>Source</t>
        </is>
      </c>
    </row>
    <row r="5">
      <c r="A5" s="19" t="inlineStr">
        <is>
          <t>1</t>
        </is>
      </c>
      <c r="B5" s="24" t="inlineStr">
        <is>
          <t>employed(d) = (d &gt;= joining) and (d &lt;= last working day)</t>
        </is>
      </c>
      <c r="C5" s="23" t="inlineStr">
        <is>
          <t>d = a date in the month</t>
        </is>
      </c>
      <c r="D5" s="23" t="inlineStr">
        <is>
          <t>payableDays.service.ts:219</t>
        </is>
      </c>
    </row>
    <row r="6">
      <c r="A6" s="27" t="inlineStr">
        <is>
          <t>2</t>
        </is>
      </c>
      <c r="B6" s="28" t="inlineStr">
        <is>
          <t>isOff(d) = rules ? matches(d, rules) : not in work_week</t>
        </is>
      </c>
      <c r="C6" s="29" t="inlineStr">
        <is>
          <t>rules from the first non-empty rung</t>
        </is>
      </c>
      <c r="D6" s="29" t="inlineStr">
        <is>
          <t>payableDays.service.ts:229</t>
        </is>
      </c>
    </row>
    <row r="7">
      <c r="A7" s="19" t="inlineStr">
        <is>
          <t>3</t>
        </is>
      </c>
      <c r="B7" s="24" t="inlineStr">
        <is>
          <t>base(d) = isOff ? weekly_off : holiday ? holiday : working</t>
        </is>
      </c>
      <c r="C7" s="23" t="inlineStr">
        <is>
          <t>precedence: off &gt; holiday &gt; working</t>
        </is>
      </c>
      <c r="D7" s="23" t="inlineStr">
        <is>
          <t>payableDays.service.ts:238-241</t>
        </is>
      </c>
    </row>
    <row r="8">
      <c r="A8" s="27" t="inlineStr">
        <is>
          <t>4</t>
        </is>
      </c>
      <c r="B8" s="28" t="inlineStr">
        <is>
          <t>W = count(working) + (holidays_paid ? count(holiday) : 0)</t>
        </is>
      </c>
      <c r="C8" s="29" t="inlineStr">
        <is>
          <t>W = scheduled working days</t>
        </is>
      </c>
      <c r="D8" s="29" t="inlineStr">
        <is>
          <t>payableDays.service.ts:449,460</t>
        </is>
      </c>
    </row>
    <row r="9">
      <c r="A9" s="19" t="inlineStr">
        <is>
          <t>5</t>
        </is>
      </c>
      <c r="B9" s="24" t="inlineStr">
        <is>
          <t>N = count(days in W outside employment)</t>
        </is>
      </c>
      <c r="C9" s="23" t="inlineStr">
        <is>
          <t>N = not-employed days</t>
        </is>
      </c>
      <c r="D9" s="23" t="inlineStr">
        <is>
          <t>payableDays.service.ts:462</t>
        </is>
      </c>
    </row>
    <row r="10">
      <c r="A10" s="27" t="inlineStr">
        <is>
          <t>6</t>
        </is>
      </c>
      <c r="B10" s="28" t="inlineStr">
        <is>
          <t>L = SUM(dayLop(d)) over working days</t>
        </is>
      </c>
      <c r="C10" s="29" t="inlineStr">
        <is>
          <t>L = loss-of-pay days</t>
        </is>
      </c>
      <c r="D10" s="29" t="inlineStr">
        <is>
          <t>payableDays.service.ts:541</t>
        </is>
      </c>
    </row>
    <row r="11">
      <c r="A11" s="19" t="inlineStr">
        <is>
          <t>7</t>
        </is>
      </c>
      <c r="B11" s="24" t="inlineStr">
        <is>
          <t>D = (method = fixed_days) ? fixed_working_days : W</t>
        </is>
      </c>
      <c r="C11" s="23" t="inlineStr">
        <is>
          <t>D = the denominator</t>
        </is>
      </c>
      <c r="D11" s="23" t="inlineStr">
        <is>
          <t>payableDays.service.ts:563</t>
        </is>
      </c>
    </row>
    <row r="12">
      <c r="A12" s="27" t="inlineStr">
        <is>
          <t>8</t>
        </is>
      </c>
      <c r="B12" s="28" t="inlineStr">
        <is>
          <t>paidRatio = max(0, W − N − L) / W</t>
        </is>
      </c>
      <c r="C12" s="29" t="inlineStr">
        <is>
          <t>0 when W = 0</t>
        </is>
      </c>
      <c r="D12" s="29" t="inlineStr">
        <is>
          <t>payableDays.service.ts:569</t>
        </is>
      </c>
    </row>
    <row r="13">
      <c r="A13" s="19" t="inlineStr">
        <is>
          <t>9</t>
        </is>
      </c>
      <c r="B13" s="24" t="inlineStr">
        <is>
          <t>payment_days = round2(D × paidRatio)</t>
        </is>
      </c>
      <c r="C13" s="23" t="inlineStr">
        <is>
          <t>2 decimals</t>
        </is>
      </c>
      <c r="D13" s="23" t="inlineStr">
        <is>
          <t>payableDays.service.ts:570</t>
        </is>
      </c>
    </row>
    <row r="14">
      <c r="A14" s="27" t="inlineStr">
        <is>
          <t>10</t>
        </is>
      </c>
      <c r="B14" s="28" t="inlineStr">
        <is>
          <t>factor = payment_days / D</t>
        </is>
      </c>
      <c r="C14" s="29">
        <f> paidRatio exactly</f>
        <v/>
      </c>
      <c r="D14" s="29" t="inlineStr">
        <is>
          <t>payslip.calc.ts:155-157</t>
        </is>
      </c>
    </row>
    <row r="15">
      <c r="A15" s="19" t="inlineStr">
        <is>
          <t>11</t>
        </is>
      </c>
      <c r="B15" s="24" t="inlineStr">
        <is>
          <t>b = round(base × factor)</t>
        </is>
      </c>
      <c r="C15" s="23" t="inlineStr">
        <is>
          <t>b = prorated monthly gross</t>
        </is>
      </c>
      <c r="D15" s="23" t="inlineStr">
        <is>
          <t>payslip.calc.ts:160</t>
        </is>
      </c>
    </row>
    <row r="16">
      <c r="A16" s="27" t="inlineStr">
        <is>
          <t>12</t>
        </is>
      </c>
      <c r="B16" s="28" t="inlineStr">
        <is>
          <t>flat line = round(value × scale)</t>
        </is>
      </c>
      <c r="C16" s="29" t="inlineStr">
        <is>
          <t>scale = factor for earnings else 1</t>
        </is>
      </c>
      <c r="D16" s="29" t="inlineStr">
        <is>
          <t>payslip.calc.ts:174-175</t>
        </is>
      </c>
    </row>
    <row r="17">
      <c r="A17" s="19" t="inlineStr">
        <is>
          <t>13</t>
        </is>
      </c>
      <c r="B17" s="24" t="inlineStr">
        <is>
          <t>pct_of_base = round(value/100 × b)</t>
        </is>
      </c>
      <c r="C17" s="23" t="inlineStr"/>
      <c r="D17" s="23" t="inlineStr">
        <is>
          <t>payslip.calc.ts:176</t>
        </is>
      </c>
    </row>
    <row r="18">
      <c r="A18" s="27" t="inlineStr">
        <is>
          <t>14</t>
        </is>
      </c>
      <c r="B18" s="28" t="inlineStr">
        <is>
          <t>pct_of_basic = round(value/100 × Basic)</t>
        </is>
      </c>
      <c r="C18" s="29" t="inlineStr">
        <is>
          <t>Basic found by regex /basic/i</t>
        </is>
      </c>
      <c r="D18" s="29" t="inlineStr">
        <is>
          <t>payslip.calc.ts:182</t>
        </is>
      </c>
    </row>
    <row r="19">
      <c r="A19" s="19" t="inlineStr">
        <is>
          <t>15</t>
        </is>
      </c>
      <c r="B19" s="24" t="inlineStr">
        <is>
          <t>remainder = max(0, b − other fixed earnings)</t>
        </is>
      </c>
      <c r="C19" s="23" t="inlineStr"/>
      <c r="D19" s="23" t="inlineStr">
        <is>
          <t>payslip.calc.ts:189</t>
        </is>
      </c>
    </row>
    <row r="20">
      <c r="A20" s="27" t="inlineStr">
        <is>
          <t>16</t>
        </is>
      </c>
      <c r="B20" s="28" t="inlineStr">
        <is>
          <t>gross_earnings = fixed_salary + variable_pay</t>
        </is>
      </c>
      <c r="C20" s="29" t="inlineStr"/>
      <c r="D20" s="29" t="inlineStr">
        <is>
          <t>payslip.calc.ts:214</t>
        </is>
      </c>
    </row>
    <row r="21">
      <c r="A21" s="19" t="inlineStr">
        <is>
          <t>17</t>
        </is>
      </c>
      <c r="B21" s="24" t="inlineStr">
        <is>
          <t>OT = round(hours × base/(D × std hours) × multiplier)</t>
        </is>
      </c>
      <c r="C21" s="23" t="inlineStr">
        <is>
          <t>std hours default 8, multiplier 2</t>
        </is>
      </c>
      <c r="D21" s="23" t="inlineStr">
        <is>
          <t>payslip.service.ts:155-157</t>
        </is>
      </c>
    </row>
    <row r="22">
      <c r="A22" s="27" t="inlineStr">
        <is>
          <t>18</t>
        </is>
      </c>
      <c r="B22" s="28" t="inlineStr">
        <is>
          <t>bonus = round(pct/100 × min(Basic, max(7000, minWage)))</t>
        </is>
      </c>
      <c r="C22" s="29" t="inlineStr">
        <is>
          <t>nil if Basic &gt; 21,000</t>
        </is>
      </c>
      <c r="D22" s="29" t="inlineStr">
        <is>
          <t>salaryStructure.service.ts:76-82</t>
        </is>
      </c>
    </row>
    <row r="23">
      <c r="A23" s="19" t="inlineStr">
        <is>
          <t>19</t>
        </is>
      </c>
      <c r="B23" s="24" t="inlineStr">
        <is>
          <t>pfWage = min(PF base contracted, 15000) × factor</t>
        </is>
      </c>
      <c r="C23" s="23" t="inlineStr">
        <is>
          <t>cap is 15,000</t>
        </is>
      </c>
      <c r="D23" s="23" t="inlineStr">
        <is>
          <t>payslip.calc.ts:231-234</t>
        </is>
      </c>
    </row>
    <row r="24">
      <c r="A24" s="27" t="inlineStr">
        <is>
          <t>20</t>
        </is>
      </c>
      <c r="B24" s="28" t="inlineStr">
        <is>
          <t>EPF = round(12% × pfWage)</t>
        </is>
      </c>
      <c r="C24" s="29" t="inlineStr">
        <is>
          <t>employer share identical</t>
        </is>
      </c>
      <c r="D24" s="29" t="inlineStr">
        <is>
          <t>payslip.calc.ts:235-236</t>
        </is>
      </c>
    </row>
    <row r="25">
      <c r="A25" s="19" t="inlineStr">
        <is>
          <t>21</t>
        </is>
      </c>
      <c r="B25" s="24" t="inlineStr">
        <is>
          <t>ESI covered = contracted ESI base &lt;= 21000</t>
        </is>
      </c>
      <c r="C25" s="23" t="inlineStr">
        <is>
          <t>contracted, not earned</t>
        </is>
      </c>
      <c r="D25" s="23" t="inlineStr">
        <is>
          <t>payslip.calc.ts:242-244</t>
        </is>
      </c>
    </row>
    <row r="26">
      <c r="A26" s="27" t="inlineStr">
        <is>
          <t>22</t>
        </is>
      </c>
      <c r="B26" s="28" t="inlineStr">
        <is>
          <t>ESI = ceil(0.75% × earned ESI base)</t>
        </is>
      </c>
      <c r="C26" s="29" t="inlineStr">
        <is>
          <t>rounds UP</t>
        </is>
      </c>
      <c r="D26" s="29" t="inlineStr">
        <is>
          <t>payslip.calc.ts:247</t>
        </is>
      </c>
    </row>
    <row r="27">
      <c r="A27" s="19" t="inlineStr">
        <is>
          <t>23</t>
        </is>
      </c>
      <c r="B27" s="24" t="inlineStr">
        <is>
          <t>LWF = min(round(0.20% × fixed_salary), 35)</t>
        </is>
      </c>
      <c r="C27" s="23" t="inlineStr">
        <is>
          <t>or a flat state amount, paise kept</t>
        </is>
      </c>
      <c r="D27" s="23" t="inlineStr">
        <is>
          <t>payslip.calc.ts:263-267</t>
        </is>
      </c>
    </row>
    <row r="28">
      <c r="A28" s="27" t="inlineStr">
        <is>
          <t>24</t>
        </is>
      </c>
      <c r="B28" s="28" t="inlineStr">
        <is>
          <t>PT = round(slab amount where gross in [min, max])</t>
        </is>
      </c>
      <c r="C28" s="29" t="inlineStr">
        <is>
          <t>matched on EARNED gross</t>
        </is>
      </c>
      <c r="D28" s="29" t="inlineStr">
        <is>
          <t>payslip.calc.ts:274-280</t>
        </is>
      </c>
    </row>
    <row r="29">
      <c r="A29" s="19" t="inlineStr">
        <is>
          <t>25</t>
        </is>
      </c>
      <c r="B29" s="24" t="inlineStr">
        <is>
          <t>total_deduction = EPF + ESI + LWF + PT + other deductions</t>
        </is>
      </c>
      <c r="C29" s="23" t="inlineStr">
        <is>
          <t>TDS is an 'other deduction'</t>
        </is>
      </c>
      <c r="D29" s="23" t="inlineStr">
        <is>
          <t>payslip.calc.ts:287</t>
        </is>
      </c>
    </row>
    <row r="30">
      <c r="A30" s="27" t="inlineStr">
        <is>
          <t>26</t>
        </is>
      </c>
      <c r="B30" s="28" t="inlineStr">
        <is>
          <t>net_pay = gross_earnings − total_deduction + reimbursements</t>
        </is>
      </c>
      <c r="C30" s="29" t="inlineStr">
        <is>
          <t>NOT rounded</t>
        </is>
      </c>
      <c r="D30" s="29" t="inlineStr">
        <is>
          <t>payslip.calc.ts:288</t>
        </is>
      </c>
    </row>
    <row r="31">
      <c r="A31" s="19" t="inlineStr">
        <is>
          <t>27</t>
        </is>
      </c>
      <c r="B31" s="24" t="inlineStr">
        <is>
          <t>ctc = gross + employer PF + employer ESI + employer LWF + benefits</t>
        </is>
      </c>
      <c r="C31" s="23" t="inlineStr">
        <is>
          <t>employer side never hits net</t>
        </is>
      </c>
      <c r="D31" s="23" t="inlineStr">
        <is>
          <t>payslip.calc.ts:292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88" customWidth="1" min="2" max="2"/>
  </cols>
  <sheetData>
    <row r="1">
      <c r="A1" s="1" t="inlineStr">
        <is>
          <t>Assumptions this model takes</t>
        </is>
      </c>
    </row>
    <row r="2">
      <c r="A2" s="2" t="inlineStr">
        <is>
          <t>Each one is a real property of the code, not a simplification made for the spreadsheet.</t>
        </is>
      </c>
    </row>
    <row r="4">
      <c r="A4" s="3" t="inlineStr">
        <is>
          <t>#</t>
        </is>
      </c>
      <c r="B4" s="3" t="inlineStr">
        <is>
          <t>Assumption</t>
        </is>
      </c>
    </row>
    <row r="5">
      <c r="A5" s="5" t="n">
        <v>1</v>
      </c>
      <c r="B5" s="19" t="inlineStr">
        <is>
          <t>The base figure is MONTHLY, not annual. There is no division by 12 anywhere in the chain.</t>
        </is>
      </c>
    </row>
    <row r="6">
      <c r="A6" s="30" t="n">
        <v>2</v>
      </c>
      <c r="B6" s="27" t="inlineStr">
        <is>
          <t>One salary row per employee — there is no salary history, so a raise re-prices every unlocked month.</t>
        </is>
      </c>
    </row>
    <row r="7">
      <c r="A7" s="5" t="n">
        <v>3</v>
      </c>
      <c r="B7" s="19" t="inlineStr">
        <is>
          <t>Basic is identified by a REGEX on the payslip name (/basic/i). Rename it and pct_of_basic lines reprice silently.</t>
        </is>
      </c>
    </row>
    <row r="8">
      <c r="A8" s="30" t="n">
        <v>4</v>
      </c>
      <c r="B8" s="27" t="inlineStr">
        <is>
          <t>Unpaid leave costs a full day, hardcoded. It never reads the attendance pay rules table.</t>
        </is>
      </c>
    </row>
    <row r="9">
      <c r="A9" s="5" t="n">
        <v>5</v>
      </c>
      <c r="B9" s="19" t="inlineStr">
        <is>
          <t>There is no half-day leave. Any overlapping approved leave governs the whole day.</t>
        </is>
      </c>
    </row>
    <row r="10">
      <c r="A10" s="30" t="n">
        <v>6</v>
      </c>
      <c r="B10" s="27" t="inlineStr">
        <is>
          <t>Paid holidays sit inside the denominator, so they dilute the per-day rate rather than being free.</t>
        </is>
      </c>
    </row>
    <row r="11">
      <c r="A11" s="5" t="n">
        <v>7</v>
      </c>
      <c r="B11" s="19" t="inlineStr">
        <is>
          <t>A rest day can never cost pay — the code skips the date before reading attendance.</t>
        </is>
      </c>
    </row>
    <row r="12">
      <c r="A12" s="30" t="n">
        <v>8</v>
      </c>
      <c r="B12" s="27" t="inlineStr">
        <is>
          <t>Employer PF, ESI, LWF and benefit lines never reduce net pay. They only appear in CTC.</t>
        </is>
      </c>
    </row>
    <row r="13">
      <c r="A13" s="5" t="n">
        <v>9</v>
      </c>
      <c r="B13" s="19" t="inlineStr">
        <is>
          <t>Statutory components contribute ZERO until switched on. There is no seed, so a fresh install deducts nothing.</t>
        </is>
      </c>
    </row>
    <row r="14">
      <c r="A14" s="30" t="n">
        <v>10</v>
      </c>
      <c r="B14" s="27" t="inlineStr">
        <is>
          <t>The state driving PT, LWF and minimum wage is resolved by matching employees.branch_name to properties.name — a string match, not a foreign key — falling back to Haryana when nothing matches.</t>
        </is>
      </c>
    </row>
    <row r="15">
      <c r="A15" s="5" t="n">
        <v>11</v>
      </c>
      <c r="B15" s="19" t="inlineStr">
        <is>
          <t>TDS is whatever Finance typed on the assignment. No slabs, no regime, no annualisation, no Form 16.</t>
        </is>
      </c>
    </row>
    <row r="16">
      <c r="A16" s="30" t="n">
        <v>12</v>
      </c>
      <c r="B16" s="27" t="inlineStr">
        <is>
          <t>total_deduction and net_pay are NOT rounded. Every component is rounded individually, the totals are not.</t>
        </is>
      </c>
    </row>
    <row r="17">
      <c r="A17" s="5" t="n">
        <v>13</v>
      </c>
      <c r="B17" s="19" t="inlineStr">
        <is>
          <t>ESI rounds UP by statute. LWF in fixed mode keeps paise. Everything else is half-up to the rupee.</t>
        </is>
      </c>
    </row>
    <row r="18">
      <c r="A18" s="30" t="n">
        <v>14</v>
      </c>
      <c r="B18" s="27" t="inlineStr">
        <is>
          <t>Overtime is priced off the full contracted base and the pay denominator, not off Basic and not off the real roster.</t>
        </is>
      </c>
    </row>
    <row r="19">
      <c r="A19" s="5" t="n">
        <v>15</v>
      </c>
      <c r="B19" s="19" t="inlineStr">
        <is>
          <t>This sheet models ONE employee for ONE month. Payroll runs the same chain per employee.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62" customWidth="1" min="3" max="3"/>
  </cols>
  <sheetData>
    <row r="1">
      <c r="A1" s="1" t="inlineStr">
        <is>
          <t>What your database actually holds</t>
        </is>
      </c>
    </row>
    <row r="2">
      <c r="A2" s="2" t="inlineStr">
        <is>
          <t>Read-only snapshot taken 2026-07-28 from the dev database. This is fact, not assumption.</t>
        </is>
      </c>
    </row>
    <row r="4">
      <c r="A4" s="3" t="inlineStr">
        <is>
          <t>PAY SCHEDULE</t>
        </is>
      </c>
      <c r="B4" s="4" t="n"/>
      <c r="C4" s="4" t="n"/>
      <c r="D4" s="4" t="n"/>
      <c r="E4" s="4" t="n"/>
      <c r="F4" s="4" t="n"/>
    </row>
    <row r="5">
      <c r="A5" s="5" t="inlineStr">
        <is>
          <t>salary_calculation_method</t>
        </is>
      </c>
      <c r="B5" s="26" t="inlineStr">
        <is>
          <t>fixed_days</t>
        </is>
      </c>
      <c r="C5" s="2" t="inlineStr">
        <is>
          <t>So the denominator is 30, NOT the real working days.</t>
        </is>
      </c>
    </row>
    <row r="6">
      <c r="A6" s="5" t="inlineStr">
        <is>
          <t>fixed_working_days</t>
        </is>
      </c>
      <c r="B6" s="26" t="inlineStr">
        <is>
          <t>30</t>
        </is>
      </c>
      <c r="C6" s="2" t="inlineStr"/>
    </row>
    <row r="7">
      <c r="A7" s="5" t="inlineStr">
        <is>
          <t>work_week</t>
        </is>
      </c>
      <c r="B7" s="26" t="inlineStr">
        <is>
          <t>Mon-Fri [1,2,3,4,5]</t>
        </is>
      </c>
      <c r="C7" s="2" t="inlineStr">
        <is>
          <t>Rung 3 of the off-day resolution.</t>
        </is>
      </c>
    </row>
    <row r="8">
      <c r="A8" s="5" t="inlineStr">
        <is>
          <t>work_pattern_effective_from</t>
        </is>
      </c>
      <c r="B8" s="26" t="inlineStr">
        <is>
          <t>2026-08-01</t>
        </is>
      </c>
      <c r="C8" s="2" t="inlineStr">
        <is>
          <t>Patterns do not apply to any date before this.</t>
        </is>
      </c>
    </row>
    <row r="9">
      <c r="A9" s="5" t="inlineStr">
        <is>
          <t>holidays_paid</t>
        </is>
      </c>
      <c r="B9" s="26" t="inlineStr">
        <is>
          <t>true</t>
        </is>
      </c>
      <c r="C9" s="2" t="inlineStr">
        <is>
          <t>Paid holidays enter the denominator.</t>
        </is>
      </c>
    </row>
    <row r="10">
      <c r="A10" s="5" t="inlineStr">
        <is>
          <t>unmarked_day_policy</t>
        </is>
      </c>
      <c r="B10" s="26" t="inlineStr">
        <is>
          <t>present</t>
        </is>
      </c>
      <c r="C10" s="2" t="inlineStr">
        <is>
          <t>A day with no attendance record costs nothing.</t>
        </is>
      </c>
    </row>
    <row r="11">
      <c r="A11" s="5" t="inlineStr">
        <is>
          <t>overtime_multiplier</t>
        </is>
      </c>
      <c r="B11" s="26" t="inlineStr">
        <is>
          <t>2</t>
        </is>
      </c>
      <c r="C11" s="2" t="inlineStr"/>
    </row>
    <row r="12">
      <c r="A12" s="5" t="inlineStr">
        <is>
          <t>standard_day_hours</t>
        </is>
      </c>
      <c r="B12" s="26" t="inlineStr">
        <is>
          <t>8</t>
        </is>
      </c>
      <c r="C12" s="2" t="inlineStr"/>
    </row>
    <row r="15">
      <c r="A15" s="3" t="inlineStr">
        <is>
          <t>STATUTORY  —  read this carefully</t>
        </is>
      </c>
      <c r="B15" s="4" t="n"/>
      <c r="C15" s="4" t="n"/>
      <c r="D15" s="4" t="n"/>
      <c r="E15" s="4" t="n"/>
      <c r="F15" s="4" t="n"/>
    </row>
    <row r="16">
      <c r="A16" s="5" t="inlineStr">
        <is>
          <t>statutory_settings</t>
        </is>
      </c>
      <c r="B16" s="31" t="inlineStr">
        <is>
          <t>EMPTY — 0 rows</t>
        </is>
      </c>
      <c r="C16" s="2" t="inlineStr">
        <is>
          <t>EPF, ESI, Professional Tax and LWF are ALL contributing zero right now.</t>
        </is>
      </c>
    </row>
    <row r="17">
      <c r="A17" s="5" t="inlineStr">
        <is>
          <t>state_minimum_wages</t>
        </is>
      </c>
      <c r="B17" s="31" t="inlineStr">
        <is>
          <t>EMPTY — 0 rows</t>
        </is>
      </c>
      <c r="C17" s="2" t="inlineStr">
        <is>
          <t>The minimum-wage floor never fires, and the bonus ceiling falls back to 7,000.</t>
        </is>
      </c>
    </row>
    <row r="19">
      <c r="A19" s="3" t="inlineStr">
        <is>
          <t>SALARY STRUCTURE  (all five designations share this shape)</t>
        </is>
      </c>
      <c r="B19" s="4" t="n"/>
      <c r="C19" s="4" t="n"/>
      <c r="D19" s="4" t="n"/>
      <c r="E19" s="4" t="n"/>
      <c r="F19" s="4" t="n"/>
    </row>
    <row r="20">
      <c r="A20" s="13" t="inlineStr">
        <is>
          <t>Line</t>
        </is>
      </c>
      <c r="B20" s="13" t="inlineStr">
        <is>
          <t>Method</t>
        </is>
      </c>
      <c r="C20" s="13" t="inlineStr">
        <is>
          <t>Value</t>
        </is>
      </c>
    </row>
    <row r="21">
      <c r="A21" s="20" t="inlineStr">
        <is>
          <t>Basic</t>
        </is>
      </c>
      <c r="B21" s="20" t="inlineStr">
        <is>
          <t>pct_of_base</t>
        </is>
      </c>
      <c r="C21" s="20" t="inlineStr">
        <is>
          <t>50%</t>
        </is>
      </c>
    </row>
    <row r="22">
      <c r="A22" s="20" t="inlineStr">
        <is>
          <t>House Rent Allowance</t>
        </is>
      </c>
      <c r="B22" s="20" t="inlineStr">
        <is>
          <t>pct_of_basic</t>
        </is>
      </c>
      <c r="C22" s="20" t="inlineStr">
        <is>
          <t>50%</t>
        </is>
      </c>
    </row>
    <row r="23">
      <c r="A23" s="20" t="inlineStr">
        <is>
          <t>Other Allowance</t>
        </is>
      </c>
      <c r="B23" s="20" t="inlineStr">
        <is>
          <t>remainder</t>
        </is>
      </c>
      <c r="C23" s="20" t="inlineStr">
        <is>
          <t>balance of base</t>
        </is>
      </c>
    </row>
    <row r="24">
      <c r="A24" s="20" t="inlineStr">
        <is>
          <t>PLI</t>
        </is>
      </c>
      <c r="B24" s="20" t="inlineStr">
        <is>
          <t>flat, variable, NOT prorated</t>
        </is>
      </c>
      <c r="C24" s="20" t="inlineStr">
        <is>
          <t>780 - 840 depending on grade</t>
        </is>
      </c>
    </row>
    <row r="25">
      <c r="A25" s="20" t="inlineStr">
        <is>
          <t>Gratuity Provision</t>
        </is>
      </c>
      <c r="B25" s="20" t="inlineStr">
        <is>
          <t>benefit, pct_of_basic</t>
        </is>
      </c>
      <c r="C25" s="20" t="inlineStr">
        <is>
          <t>4.81% — employer cost, not a deduction</t>
        </is>
      </c>
    </row>
    <row r="28">
      <c r="A28" s="3" t="inlineStr">
        <is>
          <t>BASE SALARIES IN USE</t>
        </is>
      </c>
      <c r="B28" s="4" t="n"/>
      <c r="C28" s="4" t="n"/>
      <c r="D28" s="4" t="n"/>
      <c r="E28" s="4" t="n"/>
      <c r="F28" s="4" t="n"/>
    </row>
    <row r="29">
      <c r="A29" s="5" t="inlineStr">
        <is>
          <t>Housekeeping Attendant</t>
        </is>
      </c>
      <c r="B29" s="32" t="n">
        <v>19500</v>
      </c>
    </row>
    <row r="30">
      <c r="A30" s="5" t="inlineStr">
        <is>
          <t>Housekeeping Supervisor</t>
        </is>
      </c>
      <c r="B30" s="32" t="n">
        <v>21000</v>
      </c>
    </row>
    <row r="31">
      <c r="A31" s="5" t="inlineStr">
        <is>
          <t>F&amp;B Server</t>
        </is>
      </c>
      <c r="B31" s="32" t="n">
        <v>22500</v>
      </c>
    </row>
    <row r="32">
      <c r="A32" s="5" t="inlineStr">
        <is>
          <t>F&amp;B Manager</t>
        </is>
      </c>
      <c r="B32" s="32" t="n">
        <v>24000</v>
      </c>
    </row>
    <row r="33">
      <c r="A33" s="5" t="inlineStr">
        <is>
          <t>Front Desk Executive</t>
        </is>
      </c>
      <c r="B33" s="32" t="n">
        <v>25500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2026-07-28T10:36:17Z</dcterms:created>
  <dcterms:modified xmlns:dcterms="http://purl.org/dc/terms/" xmlns:xsi="http://www.w3.org/2001/XMLSchema-instance" xsi:type="dcterms:W3CDTF">2026-07-28T10:36:17Z</dcterms:modified>
</cp:coreProperties>
</file>